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_oneDrive\OneDrive\OneDrive - CARNET\vern-vježbe_php_multimedija\HRsve_powerBI\excel_vjezbe_toplak\"/>
    </mc:Choice>
  </mc:AlternateContent>
  <xr:revisionPtr revIDLastSave="0" documentId="13_ncr:1_{918772BB-0014-4D33-837D-2BD23EE09605}" xr6:coauthVersionLast="46" xr6:coauthVersionMax="46" xr10:uidLastSave="{00000000-0000-0000-0000-000000000000}"/>
  <bookViews>
    <workbookView xWindow="38280" yWindow="-120" windowWidth="29040" windowHeight="15840" xr2:uid="{00000000-000D-0000-FFFF-FFFF00000000}"/>
  </bookViews>
  <sheets>
    <sheet name="ocjene_2019_2020" sheetId="1" r:id="rId1"/>
    <sheet name="conditional1" sheetId="2" r:id="rId2"/>
    <sheet name="conditional2" sheetId="3" r:id="rId3"/>
    <sheet name="sortiranje" sheetId="4" r:id="rId4"/>
    <sheet name="filtriranje1" sheetId="5" r:id="rId5"/>
    <sheet name="pivot" sheetId="6" r:id="rId6"/>
    <sheet name="pivot_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4" i="1"/>
  <c r="R5" i="1"/>
  <c r="R7" i="1"/>
  <c r="R8" i="1"/>
  <c r="R9" i="1"/>
  <c r="R10" i="1"/>
  <c r="R11" i="1"/>
  <c r="R12" i="1"/>
  <c r="R13" i="1"/>
</calcChain>
</file>

<file path=xl/sharedStrings.xml><?xml version="1.0" encoding="utf-8"?>
<sst xmlns="http://schemas.openxmlformats.org/spreadsheetml/2006/main" count="2045" uniqueCount="633">
  <si>
    <t>ZeleniPlus d.o.o.</t>
  </si>
  <si>
    <t>Plavi Minus d.o.o.</t>
  </si>
  <si>
    <t>Redni broj</t>
  </si>
  <si>
    <t>Tvrtka</t>
  </si>
  <si>
    <t xml:space="preserve">Podružnica </t>
  </si>
  <si>
    <t>Odjel 1</t>
  </si>
  <si>
    <t>Odjel 2</t>
  </si>
  <si>
    <t>Šifra zaposlenika</t>
  </si>
  <si>
    <t>Prezime i ime zaposlenika</t>
  </si>
  <si>
    <t>Naziv radnog mjesta</t>
  </si>
  <si>
    <t>Radno vrijeme</t>
  </si>
  <si>
    <t>Dodatak za prijevoz</t>
  </si>
  <si>
    <t>Dodatak za topli obrok</t>
  </si>
  <si>
    <t>Zagreb</t>
  </si>
  <si>
    <t>Nabava</t>
  </si>
  <si>
    <t>Planiranje</t>
  </si>
  <si>
    <t>EMP0001</t>
  </si>
  <si>
    <t>Ivan Novak</t>
  </si>
  <si>
    <t>Planer nabave</t>
  </si>
  <si>
    <t>Uvoz</t>
  </si>
  <si>
    <t>EMP0002</t>
  </si>
  <si>
    <t>Specijalist nabave</t>
  </si>
  <si>
    <t>EMP0003</t>
  </si>
  <si>
    <t>EMP0004</t>
  </si>
  <si>
    <t>Logistika</t>
  </si>
  <si>
    <t>Transport</t>
  </si>
  <si>
    <t>EMP0005</t>
  </si>
  <si>
    <t>Financije</t>
  </si>
  <si>
    <t>EMP0006</t>
  </si>
  <si>
    <t>Prodaja</t>
  </si>
  <si>
    <t>Veleprodaja</t>
  </si>
  <si>
    <t>EMP0007</t>
  </si>
  <si>
    <t>Komercijalist</t>
  </si>
  <si>
    <t>EMP0008</t>
  </si>
  <si>
    <t>Marketing</t>
  </si>
  <si>
    <t>Digital</t>
  </si>
  <si>
    <t>EMP0009</t>
  </si>
  <si>
    <t>Digital marketing spec.</t>
  </si>
  <si>
    <t>EMP0010</t>
  </si>
  <si>
    <t>EMP0011</t>
  </si>
  <si>
    <t>EMP0012</t>
  </si>
  <si>
    <t>EMP0013</t>
  </si>
  <si>
    <t>Skladiste</t>
  </si>
  <si>
    <t>EMP0014</t>
  </si>
  <si>
    <t>Skladištar</t>
  </si>
  <si>
    <t>EMP0015</t>
  </si>
  <si>
    <t>Maloprodaja</t>
  </si>
  <si>
    <t>EMP0016</t>
  </si>
  <si>
    <t>Sara Novak</t>
  </si>
  <si>
    <t>EMP0017</t>
  </si>
  <si>
    <t>Kontroling</t>
  </si>
  <si>
    <t>EMP0018</t>
  </si>
  <si>
    <t>Specijalist kontrolinga</t>
  </si>
  <si>
    <t>EMP0019</t>
  </si>
  <si>
    <t>EMP0020</t>
  </si>
  <si>
    <t>EMP0021</t>
  </si>
  <si>
    <t>EMP0022</t>
  </si>
  <si>
    <t>EMP0023</t>
  </si>
  <si>
    <t>EMP0024</t>
  </si>
  <si>
    <t>EMP0025</t>
  </si>
  <si>
    <t>Mateja Horvat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</si>
  <si>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</si>
  <si>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</si>
  <si>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</si>
  <si>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</si>
  <si>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</si>
  <si>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</si>
  <si>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</si>
  <si>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</si>
  <si>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</si>
  <si>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</si>
  <si>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Brand</t>
  </si>
  <si>
    <t>EMP0036</t>
  </si>
  <si>
    <t>Brand manager</t>
  </si>
  <si>
    <t>EMP0037</t>
  </si>
  <si>
    <t>EMP0038</t>
  </si>
  <si>
    <t>Petar Novak</t>
  </si>
  <si>
    <t>EMP0039</t>
  </si>
  <si>
    <t>Mateja Kralj</t>
  </si>
  <si>
    <t>EMP0040</t>
  </si>
  <si>
    <t>EMP0041</t>
  </si>
  <si>
    <t>EMP0042</t>
  </si>
  <si>
    <t>Blagajna</t>
  </si>
  <si>
    <t>EMP0043</t>
  </si>
  <si>
    <t>Blagajnik</t>
  </si>
  <si>
    <t>EMP0044</t>
  </si>
  <si>
    <t>EMP0045</t>
  </si>
  <si>
    <t>EMP0046</t>
  </si>
  <si>
    <t>Sara Horvat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</si>
  <si>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</si>
  <si>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</si>
  <si>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</si>
  <si>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</si>
  <si>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</si>
  <si>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</si>
  <si>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</si>
  <si>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</si>
  <si>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</si>
  <si>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</si>
  <si>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</si>
  <si>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</si>
  <si>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</si>
  <si>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</si>
  <si>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</si>
  <si>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</si>
  <si>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</si>
  <si>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</si>
  <si>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</si>
  <si>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</si>
  <si>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</si>
  <si>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Sara Kralj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</si>
  <si>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</si>
  <si>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</si>
  <si>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</si>
  <si>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</si>
  <si>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</si>
  <si>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</si>
  <si>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</si>
  <si>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</si>
  <si>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</si>
  <si>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</si>
  <si>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</si>
  <si>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</si>
  <si>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</si>
  <si>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</si>
  <si>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</si>
  <si>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</si>
  <si>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</si>
  <si>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</si>
  <si>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</si>
  <si>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</si>
  <si>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</si>
  <si>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</si>
  <si>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</si>
  <si>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</si>
  <si>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</si>
  <si>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</si>
  <si>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</si>
  <si>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Luka Novak</t>
  </si>
  <si>
    <t>EMP0095</t>
  </si>
  <si>
    <t>EMP0096</t>
  </si>
  <si>
    <t>EMP0097</t>
  </si>
  <si>
    <t>EMP0098</t>
  </si>
  <si>
    <t>11.1.2025.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</si>
  <si>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</si>
  <si>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</si>
  <si>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</si>
  <si>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</si>
  <si>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</si>
  <si>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</si>
  <si>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</si>
  <si>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</si>
  <si>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</si>
  <si>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</si>
  <si>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</si>
  <si>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</si>
  <si>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</si>
  <si>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1.3.2025.</t>
  </si>
  <si>
    <t>EMP0112</t>
  </si>
  <si>
    <t>1.4.2025.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</si>
  <si>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</si>
  <si>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</si>
  <si>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</si>
  <si>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</si>
  <si>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</si>
  <si>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</si>
  <si>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</si>
  <si>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</si>
  <si>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</si>
  <si>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</si>
  <si>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</si>
  <si>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</si>
  <si>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</si>
  <si>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21.4.2025.</t>
  </si>
  <si>
    <t>EMP0126</t>
  </si>
  <si>
    <t>20.6.2025.</t>
  </si>
  <si>
    <t>EMP0127</t>
  </si>
  <si>
    <t>EMP0128</t>
  </si>
  <si>
    <t>23.5.2025.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</si>
  <si>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</si>
  <si>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</si>
  <si>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</si>
  <si>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</si>
  <si>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</si>
  <si>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</si>
  <si>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</si>
  <si>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</si>
  <si>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</si>
  <si>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</si>
  <si>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</si>
  <si>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</si>
  <si>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</si>
  <si>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</si>
  <si>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</si>
  <si>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</si>
  <si>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</si>
  <si>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</si>
  <si>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</si>
  <si>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</si>
  <si>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</si>
  <si>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</si>
  <si>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</si>
  <si>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</si>
  <si>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</si>
  <si>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</si>
  <si>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</si>
  <si>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</si>
  <si>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</si>
  <si>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</si>
  <si>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</si>
  <si>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</si>
  <si>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</si>
  <si>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</si>
  <si>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</si>
  <si>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</si>
  <si>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</si>
  <si>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</si>
  <si>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</si>
  <si>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</si>
  <si>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</si>
  <si>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</si>
  <si>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</si>
  <si>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</si>
  <si>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</si>
  <si>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</si>
  <si>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Ivan Horvat</t>
  </si>
  <si>
    <t>EMP0175</t>
  </si>
  <si>
    <t>EMP0176</t>
  </si>
  <si>
    <t>EMP0177</t>
  </si>
  <si>
    <t>EMP0178</t>
  </si>
  <si>
    <t>EMP0179</t>
  </si>
  <si>
    <t>EMP0180</t>
  </si>
  <si>
    <t>Mateja Novak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</si>
  <si>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</si>
  <si>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</si>
  <si>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</si>
  <si>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</si>
  <si>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</si>
  <si>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</si>
  <si>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</si>
  <si>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</si>
  <si>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Iva Kralj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</si>
  <si>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</si>
  <si>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</si>
  <si>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</si>
  <si>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</si>
  <si>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</si>
  <si>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</si>
  <si>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</si>
  <si>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</si>
  <si>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</si>
  <si>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</si>
  <si>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</si>
  <si>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</si>
  <si>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Ukupan trošak plaće poslodavca</t>
  </si>
  <si>
    <t>Br.</t>
  </si>
  <si>
    <t>Ciljani stupac (primjer)</t>
  </si>
  <si>
    <t>Zadatak</t>
  </si>
  <si>
    <t>Pravilo za oblikovanje</t>
  </si>
  <si>
    <t>1.</t>
  </si>
  <si>
    <t>Osnovna bruto plaća</t>
  </si>
  <si>
    <t>Izdvojite najveće plaće.</t>
  </si>
  <si>
    <r>
      <t xml:space="preserve">Označite </t>
    </r>
    <r>
      <rPr>
        <b/>
        <sz val="11"/>
        <color rgb="FF1F1F1F"/>
        <rFont val="Arial"/>
        <family val="2"/>
      </rPr>
      <t>zelenom bojom</t>
    </r>
    <r>
      <rPr>
        <sz val="11"/>
        <color rgb="FF1F1F1F"/>
        <rFont val="Arial"/>
        <family val="2"/>
      </rPr>
      <t xml:space="preserve"> ćelije koje sadrže vrijednosti u </t>
    </r>
    <r>
      <rPr>
        <b/>
        <sz val="11"/>
        <color rgb="FF1F1F1F"/>
        <rFont val="Arial"/>
        <family val="2"/>
      </rPr>
      <t>top 10%</t>
    </r>
    <r>
      <rPr>
        <sz val="11"/>
        <color rgb="FF1F1F1F"/>
        <rFont val="Arial"/>
        <family val="2"/>
      </rPr>
      <t xml:space="preserve"> cijelog stupca.</t>
    </r>
  </si>
  <si>
    <t>2.</t>
  </si>
  <si>
    <t>Izdvojite najniže troškove plaće.</t>
  </si>
  <si>
    <r>
      <t xml:space="preserve">Označite </t>
    </r>
    <r>
      <rPr>
        <b/>
        <sz val="11"/>
        <color rgb="FF1F1F1F"/>
        <rFont val="Arial"/>
        <family val="2"/>
      </rPr>
      <t>crvenim popunjavanjem</t>
    </r>
    <r>
      <rPr>
        <sz val="11"/>
        <color rgb="FF1F1F1F"/>
        <rFont val="Arial"/>
        <family val="2"/>
      </rPr>
      <t xml:space="preserve"> ćelije koje sadrže vrijednosti u </t>
    </r>
    <r>
      <rPr>
        <b/>
        <sz val="11"/>
        <color rgb="FF1F1F1F"/>
        <rFont val="Arial"/>
        <family val="2"/>
      </rPr>
      <t>donjih 10</t>
    </r>
    <r>
      <rPr>
        <sz val="11"/>
        <color rgb="FF1F1F1F"/>
        <rFont val="Arial"/>
        <family val="2"/>
      </rPr>
      <t xml:space="preserve"> stavki.</t>
    </r>
  </si>
  <si>
    <t>3.</t>
  </si>
  <si>
    <t>Označite zaposlenike s punim radnim vremenom.</t>
  </si>
  <si>
    <r>
      <t>Obojite pozadinu ćelije žuto</t>
    </r>
    <r>
      <rPr>
        <sz val="11"/>
        <color rgb="FF1F1F1F"/>
        <rFont val="Arial"/>
        <family val="2"/>
      </rPr>
      <t xml:space="preserve"> ako je vrijednost točno </t>
    </r>
    <r>
      <rPr>
        <b/>
        <sz val="11"/>
        <color rgb="FF1F1F1F"/>
        <rFont val="Arial"/>
        <family val="2"/>
      </rPr>
      <t>1,00</t>
    </r>
    <r>
      <rPr>
        <sz val="11"/>
        <color rgb="FF1F1F1F"/>
        <rFont val="Arial"/>
        <family val="2"/>
      </rPr>
      <t>.</t>
    </r>
  </si>
  <si>
    <t>4.</t>
  </si>
  <si>
    <t>Provjerite anomalije u dodatku za prijevoz.</t>
  </si>
  <si>
    <r>
      <t>Obojite font plavo i podebljano</t>
    </r>
    <r>
      <rPr>
        <sz val="11"/>
        <color rgb="FF1F1F1F"/>
        <rFont val="Arial"/>
        <family val="2"/>
      </rPr>
      <t xml:space="preserve"> ako je vrijednost </t>
    </r>
    <r>
      <rPr>
        <b/>
        <sz val="11"/>
        <color rgb="FF1F1F1F"/>
        <rFont val="Arial"/>
        <family val="2"/>
      </rPr>
      <t>veća od 50</t>
    </r>
    <r>
      <rPr>
        <sz val="11"/>
        <color rgb="FF1F1F1F"/>
        <rFont val="Arial"/>
        <family val="2"/>
      </rPr>
      <t>.</t>
    </r>
  </si>
  <si>
    <t>5.</t>
  </si>
  <si>
    <t>Označite srednji raspon plaća.</t>
  </si>
  <si>
    <r>
      <t xml:space="preserve">Koristite </t>
    </r>
    <r>
      <rPr>
        <b/>
        <sz val="11"/>
        <color rgb="FF1F1F1F"/>
        <rFont val="Arial"/>
        <family val="2"/>
      </rPr>
      <t>skalu boja (Color Scales)</t>
    </r>
    <r>
      <rPr>
        <sz val="11"/>
        <color rgb="FF1F1F1F"/>
        <rFont val="Arial"/>
        <family val="2"/>
      </rPr>
      <t xml:space="preserve"> za vizualizaciju, tako da najniža vrijednost bude crvena, a najviša zelena.</t>
    </r>
  </si>
  <si>
    <t>Neodređeno</t>
  </si>
  <si>
    <t>Marija Kovač</t>
  </si>
  <si>
    <t>Ana Pavić</t>
  </si>
  <si>
    <t>Marija Pavić</t>
  </si>
  <si>
    <t>Sara Knežević</t>
  </si>
  <si>
    <t>Marija Knežević</t>
  </si>
  <si>
    <t>Sara Pavić</t>
  </si>
  <si>
    <t>Luka Marić</t>
  </si>
  <si>
    <t>Ivan Knežević</t>
  </si>
  <si>
    <t>Ivan Lončar</t>
  </si>
  <si>
    <t>Mateja Pavić</t>
  </si>
  <si>
    <t>Luka Pavić</t>
  </si>
  <si>
    <t>Karlo Jurić</t>
  </si>
  <si>
    <t>Karlo Babić</t>
  </si>
  <si>
    <t>Karlo Knežević</t>
  </si>
  <si>
    <t>Ivan Pavić</t>
  </si>
  <si>
    <t>Mateja Kovač</t>
  </si>
  <si>
    <t>Marija Babić</t>
  </si>
  <si>
    <t>Iva Babić</t>
  </si>
  <si>
    <t>Iva Knežević</t>
  </si>
  <si>
    <t>Ivan Babić</t>
  </si>
  <si>
    <t>Ivan Jurić</t>
  </si>
  <si>
    <t>Ana Kovač</t>
  </si>
  <si>
    <t>6.</t>
  </si>
  <si>
    <t>Izdvojite sve zaposlenike jedne tvrtke.</t>
  </si>
  <si>
    <r>
      <t>Obojite pozadinu ćelije svijetlozeleno</t>
    </r>
    <r>
      <rPr>
        <sz val="11"/>
        <color rgb="FF1F1F1F"/>
        <rFont val="Arial"/>
        <family val="2"/>
      </rPr>
      <t xml:space="preserve"> ako ćelija </t>
    </r>
    <r>
      <rPr>
        <b/>
        <sz val="11"/>
        <color rgb="FF1F1F1F"/>
        <rFont val="Arial"/>
        <family val="2"/>
      </rPr>
      <t>sadrži tekst</t>
    </r>
    <r>
      <rPr>
        <sz val="11"/>
        <color rgb="FF1F1F1F"/>
        <rFont val="Arial"/>
        <family val="2"/>
      </rPr>
      <t xml:space="preserve"> "ZeleniPlus d.o.o.".</t>
    </r>
  </si>
  <si>
    <t>7.</t>
  </si>
  <si>
    <t>Podružnica</t>
  </si>
  <si>
    <t>Izdvojite sve zaposlenike iz Rijeke.</t>
  </si>
  <si>
    <r>
      <t>Označite font crvenom bojom</t>
    </r>
    <r>
      <rPr>
        <sz val="11"/>
        <color rgb="FF1F1F1F"/>
        <rFont val="Arial"/>
        <family val="2"/>
      </rPr>
      <t xml:space="preserve"> ako ćelija </t>
    </r>
    <r>
      <rPr>
        <b/>
        <sz val="11"/>
        <color rgb="FF1F1F1F"/>
        <rFont val="Arial"/>
        <family val="2"/>
      </rPr>
      <t>sadrži tekst</t>
    </r>
    <r>
      <rPr>
        <sz val="11"/>
        <color rgb="FF1F1F1F"/>
        <rFont val="Arial"/>
        <family val="2"/>
      </rPr>
      <t xml:space="preserve"> "Rijeka".</t>
    </r>
  </si>
  <si>
    <t>8.</t>
  </si>
  <si>
    <t>Izdvojite specifičan odjel.</t>
  </si>
  <si>
    <r>
      <t>Obojite pozadinu plavo</t>
    </r>
    <r>
      <rPr>
        <sz val="11"/>
        <color rgb="FF1F1F1F"/>
        <rFont val="Arial"/>
        <family val="2"/>
      </rPr>
      <t xml:space="preserve"> ako je vrijednost </t>
    </r>
    <r>
      <rPr>
        <b/>
        <sz val="11"/>
        <color rgb="FF1F1F1F"/>
        <rFont val="Arial"/>
        <family val="2"/>
      </rPr>
      <t>jednaka</t>
    </r>
    <r>
      <rPr>
        <sz val="11"/>
        <color rgb="FF1F1F1F"/>
        <rFont val="Arial"/>
        <family val="2"/>
      </rPr>
      <t xml:space="preserve"> tekstu "Marketing".</t>
    </r>
  </si>
  <si>
    <t>9.</t>
  </si>
  <si>
    <t>Pronađite sve "Voditelje".</t>
  </si>
  <si>
    <r>
      <t>Podcrtajte</t>
    </r>
    <r>
      <rPr>
        <sz val="11"/>
        <color rgb="FF1F1F1F"/>
        <rFont val="Arial"/>
        <family val="2"/>
      </rPr>
      <t xml:space="preserve"> ćelije koje </t>
    </r>
    <r>
      <rPr>
        <b/>
        <sz val="11"/>
        <color rgb="FF1F1F1F"/>
        <rFont val="Arial"/>
        <family val="2"/>
      </rPr>
      <t>sadrže riječ</t>
    </r>
    <r>
      <rPr>
        <sz val="11"/>
        <color rgb="FF1F1F1F"/>
        <rFont val="Arial"/>
        <family val="2"/>
      </rPr>
      <t xml:space="preserve"> "Voditelj" (radi lakše identifikacije menadžmenta).</t>
    </r>
  </si>
  <si>
    <t>10.</t>
  </si>
  <si>
    <t>Izdvojite moguće duplicirane šifre.</t>
  </si>
  <si>
    <r>
      <t xml:space="preserve">Koristite pravilo </t>
    </r>
    <r>
      <rPr>
        <b/>
        <sz val="11"/>
        <color rgb="FF1F1F1F"/>
        <rFont val="Arial"/>
        <family val="2"/>
      </rPr>
      <t>Duplicate Values (Duplicirane vrijednosti)</t>
    </r>
    <r>
      <rPr>
        <sz val="11"/>
        <color rgb="FF1F1F1F"/>
        <rFont val="Arial"/>
        <family val="2"/>
      </rPr>
      <t xml:space="preserve"> da biste </t>
    </r>
    <r>
      <rPr>
        <b/>
        <sz val="11"/>
        <color rgb="FF1F1F1F"/>
        <rFont val="Arial"/>
        <family val="2"/>
      </rPr>
      <t>crvenom bojom</t>
    </r>
    <r>
      <rPr>
        <sz val="11"/>
        <color rgb="FF1F1F1F"/>
        <rFont val="Arial"/>
        <family val="2"/>
      </rPr>
      <t xml:space="preserve"> označili svaku šifru koja se pojavljuje više od jedanput.</t>
    </r>
  </si>
  <si>
    <t>Formula za kopiranje u ćeliju (Primjer raspona: Redak 5 do 200)</t>
  </si>
  <si>
    <t>Funkcija(e)</t>
  </si>
  <si>
    <t>1. Ukupna bruto plaća (SUM)</t>
  </si>
  <si>
    <t>SUM</t>
  </si>
  <si>
    <t>2. Najveća bruto plaća (MAX)</t>
  </si>
  <si>
    <t>MAX</t>
  </si>
  <si>
    <t>3. Najniži ukupan trošak (MIN)</t>
  </si>
  <si>
    <t>MIN</t>
  </si>
  <si>
    <t>4. Prosječna bruto plaća (AVERAGE)</t>
  </si>
  <si>
    <t>AVERAGE</t>
  </si>
  <si>
    <t>5. Prebroji zaposlenike (COUNT)</t>
  </si>
  <si>
    <t>COUNT</t>
  </si>
  <si>
    <t>6. Prebroji sve ćelije s podacima za radna mjesta (COUNTA)</t>
  </si>
  <si>
    <t>COUNTA</t>
  </si>
  <si>
    <t>7. Prosječna satnica rada (AVERAGE)</t>
  </si>
  <si>
    <t>8. Razlika između najveće i najmanje bruto plaće</t>
  </si>
  <si>
    <t>MAX, MIN</t>
  </si>
  <si>
    <t>9. Koliko zaposlenika ima šifru (Provjera popunjenosti)</t>
  </si>
  <si>
    <t>10. Zbroj Dodatka za prijevoz (SUM)</t>
  </si>
  <si>
    <t>Cilj zadatka</t>
  </si>
  <si>
    <t>Kriterij 1 (Primarni ključ)</t>
  </si>
  <si>
    <t>Kriterij 2 (Sekundarni ključ)</t>
  </si>
  <si>
    <t>Kriterij 3 (Tercijarni ključ)</t>
  </si>
  <si>
    <r>
      <t>Plaće po tvrtki:</t>
    </r>
    <r>
      <rPr>
        <sz val="11"/>
        <color rgb="FF1F1F1F"/>
        <rFont val="Arial"/>
        <family val="2"/>
      </rPr>
      <t xml:space="preserve"> Prikaži najviše plaće unutar svake tvrtke.</t>
    </r>
  </si>
  <si>
    <r>
      <t>Tvrtka</t>
    </r>
    <r>
      <rPr>
        <sz val="11"/>
        <color rgb="FF1F1F1F"/>
        <rFont val="Arial"/>
        <family val="2"/>
      </rPr>
      <t xml:space="preserve"> (A-Z, Uzlazno)</t>
    </r>
  </si>
  <si>
    <r>
      <t>Osnovna bruto plaća</t>
    </r>
    <r>
      <rPr>
        <sz val="11"/>
        <color rgb="FF1F1F1F"/>
        <rFont val="Arial"/>
        <family val="2"/>
      </rPr>
      <t xml:space="preserve"> (Silazno)</t>
    </r>
  </si>
  <si>
    <r>
      <t>Prezime i ime</t>
    </r>
    <r>
      <rPr>
        <sz val="11"/>
        <color rgb="FF1F1F1F"/>
        <rFont val="Arial"/>
        <family val="2"/>
      </rPr>
      <t xml:space="preserve"> (A-Z, Uzlazno)</t>
    </r>
  </si>
  <si>
    <r>
      <t>Sortiranje po odjelu i radnom vremenu:</t>
    </r>
    <r>
      <rPr>
        <sz val="11"/>
        <color rgb="FF1F1F1F"/>
        <rFont val="Arial"/>
        <family val="2"/>
      </rPr>
      <t xml:space="preserve"> Grupirajte po primarnom odjelu, a zatim po najdužem radnom vremenu.</t>
    </r>
  </si>
  <si>
    <r>
      <t>Odjel 1</t>
    </r>
    <r>
      <rPr>
        <sz val="11"/>
        <color rgb="FF1F1F1F"/>
        <rFont val="Arial"/>
        <family val="2"/>
      </rPr>
      <t xml:space="preserve"> (A-Z, Uzlazno)</t>
    </r>
  </si>
  <si>
    <r>
      <t>Radno vrijeme</t>
    </r>
    <r>
      <rPr>
        <sz val="11"/>
        <color rgb="FF1F1F1F"/>
        <rFont val="Arial"/>
        <family val="2"/>
      </rPr>
      <t xml:space="preserve"> (Silazno)</t>
    </r>
  </si>
  <si>
    <r>
      <t>Naziv radnog mjesta</t>
    </r>
    <r>
      <rPr>
        <sz val="11"/>
        <color rgb="FF1F1F1F"/>
        <rFont val="Arial"/>
        <family val="2"/>
      </rPr>
      <t xml:space="preserve"> (A-Z, Uzlazno)</t>
    </r>
  </si>
  <si>
    <r>
      <t>Abecedni poredak unutar podružnica:</t>
    </r>
    <r>
      <rPr>
        <sz val="11"/>
        <color rgb="FF1F1F1F"/>
        <rFont val="Arial"/>
        <family val="2"/>
      </rPr>
      <t xml:space="preserve"> Abecedno sortirajte zaposlenike unutar svake podružnice.</t>
    </r>
  </si>
  <si>
    <r>
      <t>Podružnica</t>
    </r>
    <r>
      <rPr>
        <sz val="11"/>
        <color rgb="FF1F1F1F"/>
        <rFont val="Arial"/>
        <family val="2"/>
      </rPr>
      <t xml:space="preserve"> (A-Z, Uzlazno)</t>
    </r>
  </si>
  <si>
    <t>-</t>
  </si>
  <si>
    <r>
      <t>Troškovi plaće:</t>
    </r>
    <r>
      <rPr>
        <sz val="11"/>
        <color rgb="FF1F1F1F"/>
        <rFont val="Arial"/>
        <family val="2"/>
      </rPr>
      <t xml:space="preserve"> Prikaži najveće ukupne troškove poslodavca, a zatim ih grupiraj po tvrtki.</t>
    </r>
  </si>
  <si>
    <r>
      <t>Ukupan trošak plaće poslodavca</t>
    </r>
    <r>
      <rPr>
        <sz val="11"/>
        <color rgb="FF1F1F1F"/>
        <rFont val="Arial"/>
        <family val="2"/>
      </rPr>
      <t xml:space="preserve"> (Silazno)</t>
    </r>
  </si>
  <si>
    <r>
      <t>Radni status i plaća:</t>
    </r>
    <r>
      <rPr>
        <sz val="11"/>
        <color rgb="FF1F1F1F"/>
        <rFont val="Arial"/>
        <family val="2"/>
      </rPr>
      <t xml:space="preserve"> Grupirajte po radnom vremenu (puno, pola, itd.), a zatim po visini plaće.</t>
    </r>
  </si>
  <si>
    <r>
      <t>Pronalaženje 'Voditelja':</t>
    </r>
    <r>
      <rPr>
        <sz val="11"/>
        <color rgb="FF1F1F1F"/>
        <rFont val="Arial"/>
        <family val="2"/>
      </rPr>
      <t xml:space="preserve"> Grupirajte po radnom mjestu (radi lakšeg pronalaska pozicije "Voditelj"), a zatim po podružnici.</t>
    </r>
  </si>
  <si>
    <r>
      <t>Složenija hijerarhija:</t>
    </r>
    <r>
      <rPr>
        <sz val="11"/>
        <color rgb="FF1F1F1F"/>
        <rFont val="Arial"/>
        <family val="2"/>
      </rPr>
      <t xml:space="preserve"> Odjel 1, zatim Odjel 2, pa najviše plaće.</t>
    </r>
  </si>
  <si>
    <r>
      <t>Odjel 2</t>
    </r>
    <r>
      <rPr>
        <sz val="11"/>
        <color rgb="FF1F1F1F"/>
        <rFont val="Arial"/>
        <family val="2"/>
      </rPr>
      <t xml:space="preserve"> (A-Z, Uzlazno)</t>
    </r>
  </si>
  <si>
    <r>
      <t>Ugovori na određeno:</t>
    </r>
    <r>
      <rPr>
        <sz val="11"/>
        <color rgb="FF1F1F1F"/>
        <rFont val="Arial"/>
        <family val="2"/>
      </rPr>
      <t xml:space="preserve"> Izdvojite sve ugovore na određeno (uzlazno po datumu prestanka) unutar svake podružnice.</t>
    </r>
  </si>
  <si>
    <r>
      <t>Ako je ugovor na određeno datum prestanka...</t>
    </r>
    <r>
      <rPr>
        <sz val="11"/>
        <color rgb="FF1F1F1F"/>
        <rFont val="Arial"/>
        <family val="2"/>
      </rPr>
      <t xml:space="preserve"> (Uzlazno, najstariji datum prvi)</t>
    </r>
  </si>
  <si>
    <r>
      <t>Najveći Dodatak za prijevoz:</t>
    </r>
    <r>
      <rPr>
        <sz val="11"/>
        <color rgb="FF1F1F1F"/>
        <rFont val="Arial"/>
        <family val="2"/>
      </rPr>
      <t xml:space="preserve"> Sortirajte po dodatku za prijevoz, zatim po tvrtki i na kraju po imenu.</t>
    </r>
  </si>
  <si>
    <r>
      <t>Dodatak za prijevoz</t>
    </r>
    <r>
      <rPr>
        <sz val="11"/>
        <color rgb="FF1F1F1F"/>
        <rFont val="Arial"/>
        <family val="2"/>
      </rPr>
      <t xml:space="preserve"> (Silazno)</t>
    </r>
  </si>
  <si>
    <r>
      <t>Najmanje plaćeni u Marketingu:</t>
    </r>
    <r>
      <rPr>
        <sz val="11"/>
        <color rgb="FF1F1F1F"/>
        <rFont val="Arial"/>
        <family val="2"/>
      </rPr>
      <t xml:space="preserve"> Grupirajte sve zaposlenike u Marketingu, a zatim prikažite najmanje plaćene (Odjel 1).</t>
    </r>
  </si>
  <si>
    <r>
      <t>Osnovna bruto plaća</t>
    </r>
    <r>
      <rPr>
        <sz val="11"/>
        <color rgb="FF1F1F1F"/>
        <rFont val="Arial"/>
        <family val="2"/>
      </rPr>
      <t xml:space="preserve"> (Uzlazno)</t>
    </r>
  </si>
  <si>
    <t>Stupac za filtriranje</t>
  </si>
  <si>
    <t>Kriterij</t>
  </si>
  <si>
    <t>Tip filtra</t>
  </si>
  <si>
    <t>Filtriranje po Tvrtki</t>
  </si>
  <si>
    <r>
      <t xml:space="preserve">Jednako: </t>
    </r>
    <r>
      <rPr>
        <b/>
        <sz val="11"/>
        <color rgb="FF1F1F1F"/>
        <rFont val="Arial"/>
        <family val="2"/>
      </rPr>
      <t>"ZeleniPlus d.o.o."</t>
    </r>
  </si>
  <si>
    <t>Jednostavni tekst</t>
  </si>
  <si>
    <t>Filtriranje po Odjelu</t>
  </si>
  <si>
    <r>
      <t xml:space="preserve">Jednako: </t>
    </r>
    <r>
      <rPr>
        <b/>
        <sz val="11"/>
        <color rgb="FF1F1F1F"/>
        <rFont val="Arial"/>
        <family val="2"/>
      </rPr>
      <t>"Marketing"</t>
    </r>
  </si>
  <si>
    <t>Plaće iznad praga</t>
  </si>
  <si>
    <r>
      <t>Veće od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1500</t>
    </r>
  </si>
  <si>
    <t>Brojčani</t>
  </si>
  <si>
    <t>Radnici s pola radnog vremena</t>
  </si>
  <si>
    <r>
      <t xml:space="preserve">Jednako: </t>
    </r>
    <r>
      <rPr>
        <b/>
        <sz val="11"/>
        <color rgb="FF1F1F1F"/>
        <rFont val="Arial"/>
        <family val="2"/>
      </rPr>
      <t>0,50</t>
    </r>
  </si>
  <si>
    <t>Pronalaženje 'Voditelja'</t>
  </si>
  <si>
    <r>
      <t xml:space="preserve">Sadrži: </t>
    </r>
    <r>
      <rPr>
        <b/>
        <sz val="11"/>
        <color rgb="FF1F1F1F"/>
        <rFont val="Arial"/>
        <family val="2"/>
      </rPr>
      <t>"Voditelj"</t>
    </r>
  </si>
  <si>
    <t>Tekstualni (Sadrži)</t>
  </si>
  <si>
    <t>Zaposlenici na Neodređeno</t>
  </si>
  <si>
    <t>Ako je ugovor na određeno...</t>
  </si>
  <si>
    <r>
      <t xml:space="preserve">Jednako: </t>
    </r>
    <r>
      <rPr>
        <b/>
        <sz val="11"/>
        <color rgb="FF1F1F1F"/>
        <rFont val="Arial"/>
        <family val="2"/>
      </rPr>
      <t>"Neodređeno"</t>
    </r>
  </si>
  <si>
    <t>Tekstualni</t>
  </si>
  <si>
    <t>Složeni uvjet: Dvije lokacije</t>
  </si>
  <si>
    <r>
      <t xml:space="preserve">Jednako: </t>
    </r>
    <r>
      <rPr>
        <b/>
        <sz val="11"/>
        <color rgb="FF1F1F1F"/>
        <rFont val="Arial"/>
        <family val="2"/>
      </rPr>
      <t>"Zagreb"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ILI</t>
    </r>
    <r>
      <rPr>
        <sz val="11"/>
        <color rgb="FF1F1F1F"/>
        <rFont val="Arial"/>
        <family val="2"/>
      </rPr>
      <t xml:space="preserve"> Jednako: </t>
    </r>
    <r>
      <rPr>
        <b/>
        <sz val="11"/>
        <color rgb="FF1F1F1F"/>
        <rFont val="Arial"/>
        <family val="2"/>
      </rPr>
      <t>"Split"</t>
    </r>
  </si>
  <si>
    <t>Više uvjeta (ILI)</t>
  </si>
  <si>
    <t>Zaposlenici s manjim troškom</t>
  </si>
  <si>
    <r>
      <t>Manje od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1400</t>
    </r>
  </si>
  <si>
    <t>Složeni uvjet: Odjel i plaća</t>
  </si>
  <si>
    <r>
      <t>Odjel 1</t>
    </r>
    <r>
      <rPr>
        <sz val="11"/>
        <color rgb="FF1F1F1F"/>
        <rFont val="Arial"/>
        <family val="2"/>
      </rPr>
      <t xml:space="preserve"> i </t>
    </r>
    <r>
      <rPr>
        <b/>
        <sz val="11"/>
        <color rgb="FF1F1F1F"/>
        <rFont val="Arial"/>
        <family val="2"/>
      </rPr>
      <t>Osnovna bruto plaća</t>
    </r>
  </si>
  <si>
    <r>
      <t>Odjel 1</t>
    </r>
    <r>
      <rPr>
        <sz val="11"/>
        <color rgb="FF1F1F1F"/>
        <rFont val="Arial"/>
        <family val="2"/>
      </rPr>
      <t xml:space="preserve"> = "Prodaja" </t>
    </r>
    <r>
      <rPr>
        <b/>
        <sz val="11"/>
        <color rgb="FF1F1F1F"/>
        <rFont val="Arial"/>
        <family val="2"/>
      </rPr>
      <t>I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Osnovna bruto plaća</t>
    </r>
    <r>
      <rPr>
        <sz val="11"/>
        <color rgb="FF1F1F1F"/>
        <rFont val="Arial"/>
        <family val="2"/>
      </rPr>
      <t xml:space="preserve"> &gt; </t>
    </r>
    <r>
      <rPr>
        <b/>
        <sz val="11"/>
        <color rgb="FF1F1F1F"/>
        <rFont val="Arial"/>
        <family val="2"/>
      </rPr>
      <t>1600</t>
    </r>
  </si>
  <si>
    <t>Više uvjeta (I)</t>
  </si>
  <si>
    <t>Isključivanje Podružnice</t>
  </si>
  <si>
    <r>
      <t xml:space="preserve">Nije jednako: </t>
    </r>
    <r>
      <rPr>
        <b/>
        <sz val="11"/>
        <color rgb="FF1F1F1F"/>
        <rFont val="Arial"/>
        <family val="2"/>
      </rPr>
      <t>"Osijek"</t>
    </r>
  </si>
  <si>
    <t>Tekstualni (Negacija)</t>
  </si>
  <si>
    <t>Cilj analize</t>
  </si>
  <si>
    <t>Redci (Rows)</t>
  </si>
  <si>
    <t>Stupci (Columns)</t>
  </si>
  <si>
    <t>Vrijednosti (Values)</t>
  </si>
  <si>
    <t>Računanje/Funkcija</t>
  </si>
  <si>
    <t>Prosječna plaća po Odjelu</t>
  </si>
  <si>
    <t>(Nijedno)</t>
  </si>
  <si>
    <t>Prosjek (Average)</t>
  </si>
  <si>
    <t>Ukupni Trošak po Tvrtki i Podružnici</t>
  </si>
  <si>
    <t>Zbroj (SUM)</t>
  </si>
  <si>
    <t>Broj zaposlenika po Radnom mjestu</t>
  </si>
  <si>
    <t>Broj (Count)</t>
  </si>
  <si>
    <t>Maksimalna Bruto Plaća po Odjelu 1 i 2</t>
  </si>
  <si>
    <t>Maksimum (MAX)</t>
  </si>
  <si>
    <t>Usporedba dodataka po Podružnici</t>
  </si>
  <si>
    <r>
      <t>Dodatak za prijevoz</t>
    </r>
    <r>
      <rPr>
        <sz val="11"/>
        <color rgb="FF1F1F1F"/>
        <rFont val="Arial"/>
        <family val="2"/>
      </rPr>
      <t xml:space="preserve"> (i) </t>
    </r>
    <r>
      <rPr>
        <b/>
        <sz val="11"/>
        <color rgb="FF1F1F1F"/>
        <rFont val="Arial"/>
        <family val="2"/>
      </rPr>
      <t>Dodatak za topli obrok</t>
    </r>
  </si>
  <si>
    <t>Raspodjela Radnog Vremena po Podružnici</t>
  </si>
  <si>
    <t>Prosječna Plaća prema Vrsti Ugovora</t>
  </si>
  <si>
    <t>Ako je ugovor na odre?eno datum prestanka...</t>
  </si>
  <si>
    <t>Ako je ugovor na određno datum prestanka / Istek dozvole za rad za strane radnike</t>
  </si>
  <si>
    <t>1415</t>
  </si>
  <si>
    <t>1660</t>
  </si>
  <si>
    <t>1306</t>
  </si>
  <si>
    <t>1606</t>
  </si>
  <si>
    <t>Vozač dostave</t>
  </si>
  <si>
    <t>1347</t>
  </si>
  <si>
    <t>Računovodstvo</t>
  </si>
  <si>
    <t>Mateja Babić</t>
  </si>
  <si>
    <t>Voditelj računovodstva</t>
  </si>
  <si>
    <t>1050</t>
  </si>
  <si>
    <t>Marko Babić</t>
  </si>
  <si>
    <t>1701</t>
  </si>
  <si>
    <t>1044</t>
  </si>
  <si>
    <t>Ana Lončar</t>
  </si>
  <si>
    <t>1461</t>
  </si>
  <si>
    <t>Iva Kovač</t>
  </si>
  <si>
    <t>1646</t>
  </si>
  <si>
    <t>Luka Babić</t>
  </si>
  <si>
    <t>1601</t>
  </si>
  <si>
    <t>Luka Kovač</t>
  </si>
  <si>
    <t>1564</t>
  </si>
  <si>
    <t>Iva Jurić</t>
  </si>
  <si>
    <t>1351</t>
  </si>
  <si>
    <t>Marija Marić</t>
  </si>
  <si>
    <t>1275</t>
  </si>
  <si>
    <t>Marko Kralj</t>
  </si>
  <si>
    <t>Prodavač</t>
  </si>
  <si>
    <t>Karlo Horvat</t>
  </si>
  <si>
    <t>1305</t>
  </si>
  <si>
    <t>Sara Marić</t>
  </si>
  <si>
    <t>1231</t>
  </si>
  <si>
    <t>1758</t>
  </si>
  <si>
    <t>Mateja Knežević</t>
  </si>
  <si>
    <t>1786</t>
  </si>
  <si>
    <t>1225</t>
  </si>
  <si>
    <t>1432</t>
  </si>
  <si>
    <t>Petar Horvat</t>
  </si>
  <si>
    <t>1596</t>
  </si>
  <si>
    <t>1257</t>
  </si>
  <si>
    <t>1755</t>
  </si>
  <si>
    <t>Karlo Pavić</t>
  </si>
  <si>
    <t>1410</t>
  </si>
  <si>
    <t>1694</t>
  </si>
  <si>
    <t>Marija Horvat</t>
  </si>
  <si>
    <t>1720</t>
  </si>
  <si>
    <t>Petar Marić</t>
  </si>
  <si>
    <t>1012</t>
  </si>
  <si>
    <t>Ana Marić</t>
  </si>
  <si>
    <t>1617</t>
  </si>
  <si>
    <t>Ana Babić</t>
  </si>
  <si>
    <t>1189</t>
  </si>
  <si>
    <t>Ana Kralj</t>
  </si>
  <si>
    <t>1376</t>
  </si>
  <si>
    <t>Luka Knežević</t>
  </si>
  <si>
    <t>Ivan Kovač</t>
  </si>
  <si>
    <t>1078</t>
  </si>
  <si>
    <t>1261</t>
  </si>
  <si>
    <t>Marija Lončar</t>
  </si>
  <si>
    <t>1116</t>
  </si>
  <si>
    <t>1751</t>
  </si>
  <si>
    <t>Karlo Novak</t>
  </si>
  <si>
    <t>1378</t>
  </si>
  <si>
    <t>Iva Novak</t>
  </si>
  <si>
    <t>1737</t>
  </si>
  <si>
    <t>1702</t>
  </si>
  <si>
    <t>1699</t>
  </si>
  <si>
    <t>1739</t>
  </si>
  <si>
    <t>1592</t>
  </si>
  <si>
    <t>Mateja Jurić</t>
  </si>
  <si>
    <t>1153</t>
  </si>
  <si>
    <t>1016</t>
  </si>
  <si>
    <t>Marko Novak</t>
  </si>
  <si>
    <t>1485</t>
  </si>
  <si>
    <t>1669</t>
  </si>
  <si>
    <t>1322</t>
  </si>
  <si>
    <t>1760</t>
  </si>
  <si>
    <t>Ana Novak</t>
  </si>
  <si>
    <t>1155</t>
  </si>
  <si>
    <t>1440</t>
  </si>
  <si>
    <t>1348</t>
  </si>
  <si>
    <t>9700</t>
  </si>
  <si>
    <t>Sara Kovač</t>
  </si>
  <si>
    <t>1444</t>
  </si>
  <si>
    <t>1757</t>
  </si>
  <si>
    <t>1598</t>
  </si>
  <si>
    <t>1728</t>
  </si>
  <si>
    <t>9830</t>
  </si>
  <si>
    <t>Marko Pavić</t>
  </si>
  <si>
    <t>1181</t>
  </si>
  <si>
    <t>Karlo Kralj</t>
  </si>
  <si>
    <t>9610</t>
  </si>
  <si>
    <t>1574</t>
  </si>
  <si>
    <t>Ana Jurić</t>
  </si>
  <si>
    <t>1472</t>
  </si>
  <si>
    <t>1145</t>
  </si>
  <si>
    <t>Sara Lončar</t>
  </si>
  <si>
    <t>1581</t>
  </si>
  <si>
    <t>1235</t>
  </si>
  <si>
    <t>Marko Marić</t>
  </si>
  <si>
    <t>1715</t>
  </si>
  <si>
    <t>1148</t>
  </si>
  <si>
    <t>1202</t>
  </si>
  <si>
    <t>1320</t>
  </si>
  <si>
    <t>1759</t>
  </si>
  <si>
    <t>1569</t>
  </si>
  <si>
    <t>1036</t>
  </si>
  <si>
    <t>1600</t>
  </si>
  <si>
    <t>1465</t>
  </si>
  <si>
    <t>1277</t>
  </si>
  <si>
    <t>1447</t>
  </si>
  <si>
    <t>Petar Kralj</t>
  </si>
  <si>
    <t>1611</t>
  </si>
  <si>
    <t>1269</t>
  </si>
  <si>
    <t>1572</t>
  </si>
  <si>
    <t>Karlo Marić</t>
  </si>
  <si>
    <t>1561</t>
  </si>
  <si>
    <t>Sara Babić</t>
  </si>
  <si>
    <t>1219</t>
  </si>
  <si>
    <t>1283</t>
  </si>
  <si>
    <t>1649</t>
  </si>
  <si>
    <t>Marija Kralj</t>
  </si>
  <si>
    <t>1042</t>
  </si>
  <si>
    <t>Luka Kralj</t>
  </si>
  <si>
    <t>1555</t>
  </si>
  <si>
    <t>1371</t>
  </si>
  <si>
    <t>1300</t>
  </si>
  <si>
    <t>Marija Jurić</t>
  </si>
  <si>
    <t>Iva Pavić</t>
  </si>
  <si>
    <t>1025</t>
  </si>
  <si>
    <t>Karlo Kovač</t>
  </si>
  <si>
    <t>1532</t>
  </si>
  <si>
    <t>Petar Babić</t>
  </si>
  <si>
    <t>1101</t>
  </si>
  <si>
    <t>1248</t>
  </si>
  <si>
    <t>1287</t>
  </si>
  <si>
    <t>1177</t>
  </si>
  <si>
    <t>1281</t>
  </si>
  <si>
    <t>1109</t>
  </si>
  <si>
    <t>1615</t>
  </si>
  <si>
    <t>Petar Kovač</t>
  </si>
  <si>
    <t>1107</t>
  </si>
  <si>
    <t>1093</t>
  </si>
  <si>
    <t>1788</t>
  </si>
  <si>
    <t>1443</t>
  </si>
  <si>
    <t>1756</t>
  </si>
  <si>
    <t>1318</t>
  </si>
  <si>
    <t>1567</t>
  </si>
  <si>
    <t>9780</t>
  </si>
  <si>
    <t>Marija Novak</t>
  </si>
  <si>
    <t>1456</t>
  </si>
  <si>
    <t>1039</t>
  </si>
  <si>
    <t>1494</t>
  </si>
  <si>
    <t>1290</t>
  </si>
  <si>
    <t>9000</t>
  </si>
  <si>
    <t>Iva Lončar</t>
  </si>
  <si>
    <t>1661</t>
  </si>
  <si>
    <t>1071</t>
  </si>
  <si>
    <t>1437</t>
  </si>
  <si>
    <t>1643</t>
  </si>
  <si>
    <t>Luka Jurić</t>
  </si>
  <si>
    <t>1477</t>
  </si>
  <si>
    <t>1187</t>
  </si>
  <si>
    <t>9390</t>
  </si>
  <si>
    <t>1312</t>
  </si>
  <si>
    <t>1604</t>
  </si>
  <si>
    <t>1310</t>
  </si>
  <si>
    <t>9940</t>
  </si>
  <si>
    <t>1244</t>
  </si>
  <si>
    <t>1742</t>
  </si>
  <si>
    <t>1141</t>
  </si>
  <si>
    <t>1368</t>
  </si>
  <si>
    <t>1227</t>
  </si>
  <si>
    <t>Marko Knežević</t>
  </si>
  <si>
    <t>1557</t>
  </si>
  <si>
    <t>1573</t>
  </si>
  <si>
    <t>1493</t>
  </si>
  <si>
    <t>1091</t>
  </si>
  <si>
    <t>1536</t>
  </si>
  <si>
    <t>1795</t>
  </si>
  <si>
    <t>1687</t>
  </si>
  <si>
    <t>1338</t>
  </si>
  <si>
    <t>1056</t>
  </si>
  <si>
    <t>1446</t>
  </si>
  <si>
    <t>1047</t>
  </si>
  <si>
    <t>1568</t>
  </si>
  <si>
    <t>9580</t>
  </si>
  <si>
    <t>1063</t>
  </si>
  <si>
    <t>1226</t>
  </si>
  <si>
    <t>1597</t>
  </si>
  <si>
    <t>9220</t>
  </si>
  <si>
    <t>1003</t>
  </si>
  <si>
    <t>1152</t>
  </si>
  <si>
    <t>1513</t>
  </si>
  <si>
    <t>1158</t>
  </si>
  <si>
    <t>1043</t>
  </si>
  <si>
    <t>1499</t>
  </si>
  <si>
    <t>1041</t>
  </si>
  <si>
    <t>1253</t>
  </si>
  <si>
    <t>1662</t>
  </si>
  <si>
    <t>1228</t>
  </si>
  <si>
    <t>1463</t>
  </si>
  <si>
    <t>1138</t>
  </si>
  <si>
    <t>1293</t>
  </si>
  <si>
    <t>1199</t>
  </si>
  <si>
    <t>1267</t>
  </si>
  <si>
    <t>1533</t>
  </si>
  <si>
    <t>1682</t>
  </si>
  <si>
    <t>1476</t>
  </si>
  <si>
    <t>1722</t>
  </si>
  <si>
    <t>1237</t>
  </si>
  <si>
    <t>1355</t>
  </si>
  <si>
    <t>1480</t>
  </si>
  <si>
    <t>1689</t>
  </si>
  <si>
    <t>1134</t>
  </si>
  <si>
    <t>1416</t>
  </si>
  <si>
    <t>1146</t>
  </si>
  <si>
    <t>1685</t>
  </si>
  <si>
    <t>1614</t>
  </si>
  <si>
    <t>1184</t>
  </si>
  <si>
    <t>Split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</si>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</sst>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vertical="center" wrapText="1" readingOrder="1"/>
    </xf>
    <xf numFmtId="0" fontId="18" fillId="0" borderId="0" xfId="0" applyFont="1" applyAlignment="1">
      <alignment vertical="center" wrapText="1" readingOrder="1"/>
    </xf>
    <xf numFmtId="0" fontId="20" fillId="0" borderId="0" xfId="0" applyFont="1" applyAlignment="1">
      <alignment vertical="center" wrapText="1" readingOrder="1"/>
    </xf>
    <xf numFmtId="0" fontId="21" fillId="0" borderId="0" xfId="0" applyFont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zoomScaleNormal="100" workbookViewId="0">
      <selection activeCell="C2" sqref="C2:C18"/>
    </sheetView>
  </sheetViews>
  <sheetFormatPr defaultRowHeight="14.25"/>
  <cols>
    <col min="14" max="14" width="15.1328125" customWidth="1"/>
    <col min="17" max="17" width="17.19921875" customWidth="1"/>
    <col min="18" max="18" width="32.265625" customWidth="1"/>
    <col min="19" max="19" width="19.46484375" customWidth="1"/>
  </cols>
  <sheetData>
    <row r="1" spans="1:19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411</v>
      </c>
      <c r="J1" t="s">
        <v>10</v>
      </c>
      <c r="K1" t="s">
        <v>260</v>
      </c>
      <c r="L1" t="s">
        <v>11</v>
      </c>
      <c r="M1" t="s">
        <v>12</v>
      </c>
      <c r="N1" t="s">
        <v>254</v>
      </c>
    </row>
    <row r="2" spans="1:19">
      <c r="A2">
        <v>1</v>
      </c>
      <c r="B2" t="s">
        <v>0</v>
      </c>
      <c r="C2" t="s">
        <v>631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275</v>
      </c>
      <c r="J2">
        <v>1</v>
      </c>
      <c r="K2" t="s">
        <v>412</v>
      </c>
      <c r="L2">
        <v>47.78</v>
      </c>
      <c r="M2">
        <v>100</v>
      </c>
    </row>
    <row r="3" spans="1:19" ht="41.75" customHeight="1">
      <c r="A3">
        <v>2</v>
      </c>
      <c r="B3" t="s">
        <v>1</v>
      </c>
      <c r="C3" t="s">
        <v>631</v>
      </c>
      <c r="D3" t="s">
        <v>14</v>
      </c>
      <c r="E3" t="s">
        <v>19</v>
      </c>
      <c r="F3" t="s">
        <v>20</v>
      </c>
      <c r="G3" t="s">
        <v>279</v>
      </c>
      <c r="H3" t="s">
        <v>21</v>
      </c>
      <c r="I3" t="s">
        <v>275</v>
      </c>
      <c r="J3">
        <v>0.5</v>
      </c>
      <c r="K3" t="s">
        <v>413</v>
      </c>
      <c r="L3">
        <v>47.78</v>
      </c>
      <c r="M3">
        <v>100</v>
      </c>
      <c r="Q3" s="1" t="s">
        <v>257</v>
      </c>
      <c r="R3" s="1" t="s">
        <v>314</v>
      </c>
      <c r="S3" s="1" t="s">
        <v>315</v>
      </c>
    </row>
    <row r="4" spans="1:19" ht="41.75" customHeight="1">
      <c r="A4">
        <v>3</v>
      </c>
      <c r="B4" t="s">
        <v>0</v>
      </c>
      <c r="C4" t="s">
        <v>631</v>
      </c>
      <c r="D4" t="s">
        <v>14</v>
      </c>
      <c r="E4" t="s">
        <v>15</v>
      </c>
      <c r="F4" t="s">
        <v>22</v>
      </c>
      <c r="G4" t="s">
        <v>290</v>
      </c>
      <c r="H4" t="s">
        <v>18</v>
      </c>
      <c r="I4" t="s">
        <v>275</v>
      </c>
      <c r="J4">
        <v>1</v>
      </c>
      <c r="K4" t="s">
        <v>414</v>
      </c>
      <c r="L4">
        <v>47.78</v>
      </c>
      <c r="M4">
        <v>100</v>
      </c>
      <c r="Q4" s="1" t="s">
        <v>316</v>
      </c>
      <c r="R4" s="3">
        <f>SUM(K5:K200)</f>
        <v>27420</v>
      </c>
      <c r="S4" s="2" t="s">
        <v>317</v>
      </c>
    </row>
    <row r="5" spans="1:19" ht="41.75" customHeight="1">
      <c r="A5">
        <v>4</v>
      </c>
      <c r="B5" t="s">
        <v>0</v>
      </c>
      <c r="C5" t="s">
        <v>631</v>
      </c>
      <c r="D5" t="s">
        <v>14</v>
      </c>
      <c r="E5" t="s">
        <v>15</v>
      </c>
      <c r="F5" t="s">
        <v>23</v>
      </c>
      <c r="G5" t="s">
        <v>293</v>
      </c>
      <c r="H5" t="s">
        <v>18</v>
      </c>
      <c r="I5" t="s">
        <v>275</v>
      </c>
      <c r="J5">
        <v>0.2</v>
      </c>
      <c r="K5" t="s">
        <v>415</v>
      </c>
      <c r="L5">
        <v>47.78</v>
      </c>
      <c r="M5">
        <v>100</v>
      </c>
      <c r="Q5" s="1" t="s">
        <v>318</v>
      </c>
      <c r="R5" s="3">
        <f>MAX(K5:K200)</f>
        <v>3140</v>
      </c>
      <c r="S5" s="2" t="s">
        <v>319</v>
      </c>
    </row>
    <row r="6" spans="1:19" ht="41.75" customHeight="1">
      <c r="A6">
        <v>5</v>
      </c>
      <c r="B6" t="s">
        <v>0</v>
      </c>
      <c r="C6" t="s">
        <v>631</v>
      </c>
      <c r="D6" t="s">
        <v>24</v>
      </c>
      <c r="E6" t="s">
        <v>25</v>
      </c>
      <c r="F6" t="s">
        <v>26</v>
      </c>
      <c r="G6" t="s">
        <v>293</v>
      </c>
      <c r="H6" t="s">
        <v>416</v>
      </c>
      <c r="I6" t="s">
        <v>275</v>
      </c>
      <c r="J6">
        <v>1</v>
      </c>
      <c r="K6" t="s">
        <v>417</v>
      </c>
      <c r="L6">
        <v>47.78</v>
      </c>
      <c r="M6">
        <v>100</v>
      </c>
      <c r="Q6" s="1" t="s">
        <v>320</v>
      </c>
      <c r="R6" s="3">
        <f>MIN(N5:N200)</f>
        <v>0</v>
      </c>
      <c r="S6" s="2" t="s">
        <v>321</v>
      </c>
    </row>
    <row r="7" spans="1:19" ht="41.75" customHeight="1">
      <c r="A7">
        <v>6</v>
      </c>
      <c r="B7" t="s">
        <v>0</v>
      </c>
      <c r="C7" t="s">
        <v>632</v>
      </c>
      <c r="D7" t="s">
        <v>27</v>
      </c>
      <c r="E7" t="s">
        <v>418</v>
      </c>
      <c r="F7" t="s">
        <v>28</v>
      </c>
      <c r="G7" t="s">
        <v>419</v>
      </c>
      <c r="H7" t="s">
        <v>420</v>
      </c>
      <c r="I7" t="s">
        <v>275</v>
      </c>
      <c r="J7">
        <v>1</v>
      </c>
      <c r="K7" t="s">
        <v>421</v>
      </c>
      <c r="L7">
        <v>47.78</v>
      </c>
      <c r="M7">
        <v>100</v>
      </c>
      <c r="Q7" s="1" t="s">
        <v>322</v>
      </c>
      <c r="R7" s="3">
        <f>AVERAGE(K5:K200)</f>
        <v>1958.5714285714287</v>
      </c>
      <c r="S7" s="2" t="s">
        <v>323</v>
      </c>
    </row>
    <row r="8" spans="1:19" ht="41.75" customHeight="1">
      <c r="A8">
        <v>7</v>
      </c>
      <c r="B8" t="s">
        <v>1</v>
      </c>
      <c r="C8" t="s">
        <v>632</v>
      </c>
      <c r="D8" t="s">
        <v>29</v>
      </c>
      <c r="E8" t="s">
        <v>30</v>
      </c>
      <c r="F8" t="s">
        <v>31</v>
      </c>
      <c r="G8" t="s">
        <v>422</v>
      </c>
      <c r="H8" t="s">
        <v>32</v>
      </c>
      <c r="I8" t="s">
        <v>275</v>
      </c>
      <c r="J8">
        <v>1</v>
      </c>
      <c r="K8" t="s">
        <v>423</v>
      </c>
      <c r="L8">
        <v>47.78</v>
      </c>
      <c r="M8">
        <v>100</v>
      </c>
      <c r="Q8" s="1" t="s">
        <v>324</v>
      </c>
      <c r="R8" s="3">
        <f>COUNT(A5:A200)</f>
        <v>196</v>
      </c>
      <c r="S8" s="2" t="s">
        <v>325</v>
      </c>
    </row>
    <row r="9" spans="1:19" ht="41.75" customHeight="1">
      <c r="A9">
        <v>8</v>
      </c>
      <c r="B9" t="s">
        <v>0</v>
      </c>
      <c r="C9" t="s">
        <v>632</v>
      </c>
      <c r="D9" t="s">
        <v>14</v>
      </c>
      <c r="E9" t="s">
        <v>19</v>
      </c>
      <c r="F9" t="s">
        <v>33</v>
      </c>
      <c r="G9" t="s">
        <v>289</v>
      </c>
      <c r="H9" t="s">
        <v>21</v>
      </c>
      <c r="I9" t="s">
        <v>275</v>
      </c>
      <c r="J9">
        <v>1</v>
      </c>
      <c r="K9" t="s">
        <v>424</v>
      </c>
      <c r="L9">
        <v>47.78</v>
      </c>
      <c r="M9">
        <v>100</v>
      </c>
      <c r="Q9" s="1" t="s">
        <v>326</v>
      </c>
      <c r="R9" s="3">
        <f>COUNTA(H5:H200)</f>
        <v>196</v>
      </c>
      <c r="S9" s="2" t="s">
        <v>327</v>
      </c>
    </row>
    <row r="10" spans="1:19" ht="41.75" customHeight="1">
      <c r="A10">
        <v>9</v>
      </c>
      <c r="B10" t="s">
        <v>0</v>
      </c>
      <c r="C10" t="s">
        <v>632</v>
      </c>
      <c r="D10" t="s">
        <v>34</v>
      </c>
      <c r="E10" t="s">
        <v>35</v>
      </c>
      <c r="F10" t="s">
        <v>36</v>
      </c>
      <c r="G10" t="s">
        <v>425</v>
      </c>
      <c r="H10" t="s">
        <v>37</v>
      </c>
      <c r="I10" t="s">
        <v>275</v>
      </c>
      <c r="J10">
        <v>1</v>
      </c>
      <c r="K10" t="s">
        <v>426</v>
      </c>
      <c r="L10">
        <v>47.78</v>
      </c>
      <c r="M10">
        <v>100</v>
      </c>
      <c r="Q10" s="1" t="s">
        <v>328</v>
      </c>
      <c r="R10" s="3">
        <f>AVERAGE(J5:J200)</f>
        <v>0.98673469387755108</v>
      </c>
      <c r="S10" s="2" t="s">
        <v>323</v>
      </c>
    </row>
    <row r="11" spans="1:19" ht="41.75" customHeight="1">
      <c r="A11">
        <v>10</v>
      </c>
      <c r="B11" t="s">
        <v>0</v>
      </c>
      <c r="C11" t="s">
        <v>632</v>
      </c>
      <c r="D11" t="s">
        <v>34</v>
      </c>
      <c r="E11" t="s">
        <v>35</v>
      </c>
      <c r="F11" t="s">
        <v>38</v>
      </c>
      <c r="G11" t="s">
        <v>427</v>
      </c>
      <c r="H11" t="s">
        <v>37</v>
      </c>
      <c r="I11" t="s">
        <v>275</v>
      </c>
      <c r="J11">
        <v>1</v>
      </c>
      <c r="K11" t="s">
        <v>428</v>
      </c>
      <c r="L11">
        <v>47.78</v>
      </c>
      <c r="M11">
        <v>100</v>
      </c>
      <c r="Q11" s="1" t="s">
        <v>329</v>
      </c>
      <c r="R11" s="3">
        <f>MAX(K5:K200) - MIN(K5:K200)</f>
        <v>1900</v>
      </c>
      <c r="S11" s="2" t="s">
        <v>330</v>
      </c>
    </row>
    <row r="12" spans="1:19" ht="41.75" customHeight="1">
      <c r="A12">
        <v>11</v>
      </c>
      <c r="B12" t="s">
        <v>0</v>
      </c>
      <c r="C12" t="s">
        <v>632</v>
      </c>
      <c r="D12" t="s">
        <v>14</v>
      </c>
      <c r="E12" t="s">
        <v>19</v>
      </c>
      <c r="F12" t="s">
        <v>39</v>
      </c>
      <c r="G12" t="s">
        <v>429</v>
      </c>
      <c r="H12" t="s">
        <v>21</v>
      </c>
      <c r="I12" t="s">
        <v>275</v>
      </c>
      <c r="J12">
        <v>0.2</v>
      </c>
      <c r="K12" t="s">
        <v>430</v>
      </c>
      <c r="L12">
        <v>47.78</v>
      </c>
      <c r="M12">
        <v>100</v>
      </c>
      <c r="Q12" s="1" t="s">
        <v>331</v>
      </c>
      <c r="R12" s="3">
        <f>COUNTA(F5:F200)</f>
        <v>196</v>
      </c>
      <c r="S12" s="2" t="s">
        <v>327</v>
      </c>
    </row>
    <row r="13" spans="1:19" ht="41.75" customHeight="1">
      <c r="A13">
        <v>12</v>
      </c>
      <c r="B13" t="s">
        <v>0</v>
      </c>
      <c r="C13" t="s">
        <v>632</v>
      </c>
      <c r="D13" t="s">
        <v>29</v>
      </c>
      <c r="E13" t="s">
        <v>30</v>
      </c>
      <c r="F13" t="s">
        <v>40</v>
      </c>
      <c r="G13" t="s">
        <v>431</v>
      </c>
      <c r="H13" t="s">
        <v>32</v>
      </c>
      <c r="I13" t="s">
        <v>275</v>
      </c>
      <c r="J13">
        <v>1</v>
      </c>
      <c r="K13" t="s">
        <v>432</v>
      </c>
      <c r="L13">
        <v>105</v>
      </c>
      <c r="M13">
        <v>100</v>
      </c>
      <c r="Q13" s="1" t="s">
        <v>332</v>
      </c>
      <c r="R13" s="3">
        <f>SUM(L5:L200)</f>
        <v>9183.1999999999989</v>
      </c>
      <c r="S13" s="2" t="s">
        <v>317</v>
      </c>
    </row>
    <row r="14" spans="1:19">
      <c r="A14">
        <v>13</v>
      </c>
      <c r="B14" t="s">
        <v>0</v>
      </c>
      <c r="C14" t="s">
        <v>632</v>
      </c>
      <c r="D14" t="s">
        <v>29</v>
      </c>
      <c r="E14" t="s">
        <v>30</v>
      </c>
      <c r="F14" t="s">
        <v>41</v>
      </c>
      <c r="G14" t="s">
        <v>433</v>
      </c>
      <c r="H14" t="s">
        <v>32</v>
      </c>
      <c r="I14" t="s">
        <v>275</v>
      </c>
      <c r="J14">
        <v>1</v>
      </c>
      <c r="K14" t="s">
        <v>434</v>
      </c>
      <c r="L14">
        <v>47.78</v>
      </c>
      <c r="M14">
        <v>100</v>
      </c>
    </row>
    <row r="15" spans="1:19">
      <c r="A15">
        <v>14</v>
      </c>
      <c r="B15" t="s">
        <v>0</v>
      </c>
      <c r="C15" t="s">
        <v>632</v>
      </c>
      <c r="D15" t="s">
        <v>24</v>
      </c>
      <c r="E15" t="s">
        <v>42</v>
      </c>
      <c r="F15" t="s">
        <v>43</v>
      </c>
      <c r="G15" t="s">
        <v>435</v>
      </c>
      <c r="H15" t="s">
        <v>44</v>
      </c>
      <c r="I15" t="s">
        <v>275</v>
      </c>
      <c r="J15">
        <v>1</v>
      </c>
      <c r="K15" t="s">
        <v>436</v>
      </c>
      <c r="L15">
        <v>47.78</v>
      </c>
      <c r="M15">
        <v>100</v>
      </c>
    </row>
    <row r="16" spans="1:19">
      <c r="A16">
        <v>15</v>
      </c>
      <c r="B16" t="s">
        <v>0</v>
      </c>
      <c r="C16" t="s">
        <v>632</v>
      </c>
      <c r="D16" t="s">
        <v>14</v>
      </c>
      <c r="E16" t="s">
        <v>19</v>
      </c>
      <c r="F16" t="s">
        <v>45</v>
      </c>
      <c r="G16" t="s">
        <v>437</v>
      </c>
      <c r="H16" t="s">
        <v>21</v>
      </c>
      <c r="I16" t="s">
        <v>275</v>
      </c>
      <c r="J16">
        <v>1</v>
      </c>
      <c r="K16">
        <v>1800</v>
      </c>
      <c r="L16">
        <v>47.78</v>
      </c>
      <c r="M16">
        <v>100</v>
      </c>
    </row>
    <row r="17" spans="1:13">
      <c r="A17">
        <v>16</v>
      </c>
      <c r="B17" t="s">
        <v>0</v>
      </c>
      <c r="C17" t="s">
        <v>631</v>
      </c>
      <c r="D17" t="s">
        <v>29</v>
      </c>
      <c r="E17" t="s">
        <v>46</v>
      </c>
      <c r="F17" t="s">
        <v>47</v>
      </c>
      <c r="G17" t="s">
        <v>48</v>
      </c>
      <c r="H17" t="s">
        <v>438</v>
      </c>
      <c r="I17" t="s">
        <v>275</v>
      </c>
      <c r="J17">
        <v>1</v>
      </c>
      <c r="K17">
        <v>2370</v>
      </c>
      <c r="L17">
        <v>47.78</v>
      </c>
      <c r="M17">
        <v>100</v>
      </c>
    </row>
    <row r="18" spans="1:13">
      <c r="A18">
        <v>17</v>
      </c>
      <c r="B18" t="s">
        <v>0</v>
      </c>
      <c r="C18" t="s">
        <v>632</v>
      </c>
      <c r="D18" t="s">
        <v>24</v>
      </c>
      <c r="E18" t="s">
        <v>25</v>
      </c>
      <c r="F18" t="s">
        <v>49</v>
      </c>
      <c r="G18" t="s">
        <v>439</v>
      </c>
      <c r="H18" t="s">
        <v>416</v>
      </c>
      <c r="I18" t="s">
        <v>275</v>
      </c>
      <c r="J18">
        <v>1</v>
      </c>
      <c r="K18" t="s">
        <v>440</v>
      </c>
      <c r="L18">
        <v>47.78</v>
      </c>
      <c r="M18">
        <v>100</v>
      </c>
    </row>
    <row r="19" spans="1:13">
      <c r="A19">
        <v>18</v>
      </c>
      <c r="B19" t="s">
        <v>0</v>
      </c>
      <c r="C19" t="s">
        <v>13</v>
      </c>
      <c r="D19" t="s">
        <v>27</v>
      </c>
      <c r="E19" t="s">
        <v>50</v>
      </c>
      <c r="F19" t="s">
        <v>51</v>
      </c>
      <c r="G19" t="s">
        <v>441</v>
      </c>
      <c r="H19" t="s">
        <v>52</v>
      </c>
      <c r="I19" t="s">
        <v>275</v>
      </c>
      <c r="J19">
        <v>1</v>
      </c>
      <c r="K19" t="s">
        <v>442</v>
      </c>
      <c r="L19">
        <v>47.78</v>
      </c>
      <c r="M19">
        <v>100</v>
      </c>
    </row>
    <row r="20" spans="1:13">
      <c r="A20">
        <v>19</v>
      </c>
      <c r="B20" t="s">
        <v>0</v>
      </c>
      <c r="C20" t="s">
        <v>13</v>
      </c>
      <c r="D20" t="s">
        <v>14</v>
      </c>
      <c r="E20" t="s">
        <v>15</v>
      </c>
      <c r="F20" t="s">
        <v>53</v>
      </c>
      <c r="G20" t="s">
        <v>296</v>
      </c>
      <c r="H20" t="s">
        <v>18</v>
      </c>
      <c r="I20" t="s">
        <v>275</v>
      </c>
      <c r="J20">
        <v>1</v>
      </c>
      <c r="K20" t="s">
        <v>443</v>
      </c>
      <c r="L20">
        <v>47.78</v>
      </c>
      <c r="M20">
        <v>100</v>
      </c>
    </row>
    <row r="21" spans="1:13">
      <c r="A21">
        <v>20</v>
      </c>
      <c r="B21" t="s">
        <v>0</v>
      </c>
      <c r="C21" t="s">
        <v>13</v>
      </c>
      <c r="D21" t="s">
        <v>14</v>
      </c>
      <c r="E21" t="s">
        <v>15</v>
      </c>
      <c r="F21" t="s">
        <v>54</v>
      </c>
      <c r="G21" t="s">
        <v>444</v>
      </c>
      <c r="H21" t="s">
        <v>18</v>
      </c>
      <c r="I21" t="s">
        <v>275</v>
      </c>
      <c r="J21">
        <v>1</v>
      </c>
      <c r="K21" t="s">
        <v>445</v>
      </c>
      <c r="L21">
        <v>47.78</v>
      </c>
      <c r="M21">
        <v>100</v>
      </c>
    </row>
    <row r="22" spans="1:13">
      <c r="A22">
        <v>21</v>
      </c>
      <c r="B22" t="s">
        <v>0</v>
      </c>
      <c r="C22" t="s">
        <v>13</v>
      </c>
      <c r="D22" t="s">
        <v>27</v>
      </c>
      <c r="E22" t="s">
        <v>418</v>
      </c>
      <c r="F22" t="s">
        <v>55</v>
      </c>
      <c r="G22" t="s">
        <v>276</v>
      </c>
      <c r="H22" t="s">
        <v>420</v>
      </c>
      <c r="I22" t="s">
        <v>275</v>
      </c>
      <c r="J22">
        <v>1</v>
      </c>
      <c r="K22" t="s">
        <v>446</v>
      </c>
      <c r="L22">
        <v>47.78</v>
      </c>
      <c r="M22">
        <v>100</v>
      </c>
    </row>
    <row r="23" spans="1:13">
      <c r="A23">
        <v>22</v>
      </c>
      <c r="B23" t="s">
        <v>0</v>
      </c>
      <c r="C23" t="s">
        <v>13</v>
      </c>
      <c r="D23" t="s">
        <v>27</v>
      </c>
      <c r="E23" t="s">
        <v>50</v>
      </c>
      <c r="F23" t="s">
        <v>56</v>
      </c>
      <c r="G23" t="s">
        <v>422</v>
      </c>
      <c r="H23" t="s">
        <v>52</v>
      </c>
      <c r="I23" t="s">
        <v>275</v>
      </c>
      <c r="J23">
        <v>1</v>
      </c>
      <c r="K23" t="s">
        <v>447</v>
      </c>
      <c r="L23">
        <v>47.78</v>
      </c>
      <c r="M23">
        <v>100</v>
      </c>
    </row>
    <row r="24" spans="1:13">
      <c r="A24">
        <v>23</v>
      </c>
      <c r="B24" t="s">
        <v>0</v>
      </c>
      <c r="C24" t="s">
        <v>13</v>
      </c>
      <c r="D24" t="s">
        <v>34</v>
      </c>
      <c r="E24" t="s">
        <v>35</v>
      </c>
      <c r="F24" t="s">
        <v>57</v>
      </c>
      <c r="G24" t="s">
        <v>448</v>
      </c>
      <c r="H24" t="s">
        <v>37</v>
      </c>
      <c r="I24" t="s">
        <v>275</v>
      </c>
      <c r="J24">
        <v>1</v>
      </c>
      <c r="K24" t="s">
        <v>449</v>
      </c>
      <c r="L24">
        <v>47.78</v>
      </c>
      <c r="M24">
        <v>100</v>
      </c>
    </row>
    <row r="25" spans="1:13">
      <c r="A25">
        <v>24</v>
      </c>
      <c r="B25" t="s">
        <v>0</v>
      </c>
      <c r="C25" t="s">
        <v>13</v>
      </c>
      <c r="D25" t="s">
        <v>24</v>
      </c>
      <c r="E25" t="s">
        <v>25</v>
      </c>
      <c r="F25" t="s">
        <v>58</v>
      </c>
      <c r="G25" t="s">
        <v>279</v>
      </c>
      <c r="H25" t="s">
        <v>416</v>
      </c>
      <c r="I25" t="s">
        <v>275</v>
      </c>
      <c r="J25">
        <v>1</v>
      </c>
      <c r="K25" t="s">
        <v>450</v>
      </c>
      <c r="L25">
        <v>47.78</v>
      </c>
      <c r="M25">
        <v>100</v>
      </c>
    </row>
    <row r="26" spans="1:13">
      <c r="A26">
        <v>25</v>
      </c>
      <c r="B26" t="s">
        <v>0</v>
      </c>
      <c r="C26" t="s">
        <v>13</v>
      </c>
      <c r="D26" t="s">
        <v>34</v>
      </c>
      <c r="E26" t="s">
        <v>35</v>
      </c>
      <c r="F26" t="s">
        <v>59</v>
      </c>
      <c r="G26" t="s">
        <v>60</v>
      </c>
      <c r="H26" t="s">
        <v>37</v>
      </c>
      <c r="I26" t="s">
        <v>275</v>
      </c>
      <c r="J26">
        <v>1</v>
      </c>
      <c r="K26" t="s">
        <v>451</v>
      </c>
      <c r="L26">
        <v>47.78</v>
      </c>
      <c r="M26">
        <v>100</v>
      </c>
    </row>
    <row r="27" spans="1:13">
      <c r="A27">
        <v>26</v>
      </c>
      <c r="B27" t="s">
        <v>0</v>
      </c>
      <c r="C27" t="s">
        <v>13</v>
      </c>
      <c r="D27" t="s">
        <v>24</v>
      </c>
      <c r="E27" t="s">
        <v>42</v>
      </c>
      <c r="F27" t="s">
        <v>61</v>
      </c>
      <c r="G27" t="s">
        <v>452</v>
      </c>
      <c r="H27" t="s">
        <v>44</v>
      </c>
      <c r="I27" t="s">
        <v>275</v>
      </c>
      <c r="J27">
        <v>1</v>
      </c>
      <c r="K27" t="s">
        <v>453</v>
      </c>
      <c r="L27">
        <v>47.78</v>
      </c>
      <c r="M27">
        <v>100</v>
      </c>
    </row>
    <row r="28" spans="1:13">
      <c r="A28">
        <v>27</v>
      </c>
      <c r="B28" t="s">
        <v>0</v>
      </c>
      <c r="C28" t="s">
        <v>13</v>
      </c>
      <c r="D28" t="s">
        <v>34</v>
      </c>
      <c r="E28" t="s">
        <v>35</v>
      </c>
      <c r="F28" t="s">
        <v>62</v>
      </c>
      <c r="G28" t="s">
        <v>48</v>
      </c>
      <c r="H28" t="s">
        <v>37</v>
      </c>
      <c r="I28" t="s">
        <v>275</v>
      </c>
      <c r="J28">
        <v>1</v>
      </c>
      <c r="K28" t="s">
        <v>454</v>
      </c>
      <c r="L28">
        <v>47.78</v>
      </c>
      <c r="M28">
        <v>100</v>
      </c>
    </row>
    <row r="29" spans="1:13">
      <c r="A29">
        <v>28</v>
      </c>
      <c r="B29" t="s">
        <v>0</v>
      </c>
      <c r="C29" t="s">
        <v>13</v>
      </c>
      <c r="D29" t="s">
        <v>27</v>
      </c>
      <c r="E29" t="s">
        <v>418</v>
      </c>
      <c r="F29" t="s">
        <v>63</v>
      </c>
      <c r="G29" t="s">
        <v>455</v>
      </c>
      <c r="H29" t="s">
        <v>420</v>
      </c>
      <c r="I29" t="s">
        <v>275</v>
      </c>
      <c r="J29">
        <v>1</v>
      </c>
      <c r="K29" t="s">
        <v>456</v>
      </c>
      <c r="L29">
        <v>0</v>
      </c>
      <c r="M29">
        <v>100</v>
      </c>
    </row>
    <row r="30" spans="1:13">
      <c r="A30">
        <v>29</v>
      </c>
      <c r="B30" t="s">
        <v>0</v>
      </c>
      <c r="C30" t="s">
        <v>13</v>
      </c>
      <c r="D30" t="s">
        <v>14</v>
      </c>
      <c r="E30" t="s">
        <v>19</v>
      </c>
      <c r="F30" t="s">
        <v>64</v>
      </c>
      <c r="G30" t="s">
        <v>457</v>
      </c>
      <c r="H30" t="s">
        <v>21</v>
      </c>
      <c r="I30" t="s">
        <v>275</v>
      </c>
      <c r="J30">
        <v>1</v>
      </c>
      <c r="K30" t="s">
        <v>458</v>
      </c>
      <c r="L30">
        <v>47.78</v>
      </c>
      <c r="M30">
        <v>100</v>
      </c>
    </row>
    <row r="31" spans="1:13">
      <c r="A31">
        <v>30</v>
      </c>
      <c r="B31" t="s">
        <v>0</v>
      </c>
      <c r="C31" t="s">
        <v>13</v>
      </c>
      <c r="D31" t="s">
        <v>29</v>
      </c>
      <c r="E31" t="s">
        <v>46</v>
      </c>
      <c r="F31" t="s">
        <v>65</v>
      </c>
      <c r="G31" t="s">
        <v>459</v>
      </c>
      <c r="H31" t="s">
        <v>438</v>
      </c>
      <c r="I31" t="s">
        <v>275</v>
      </c>
      <c r="J31">
        <v>1</v>
      </c>
      <c r="K31" t="s">
        <v>460</v>
      </c>
      <c r="L31">
        <v>47.78</v>
      </c>
      <c r="M31">
        <v>100</v>
      </c>
    </row>
    <row r="32" spans="1:13">
      <c r="A32">
        <v>31</v>
      </c>
      <c r="B32" t="s">
        <v>0</v>
      </c>
      <c r="C32" t="s">
        <v>13</v>
      </c>
      <c r="D32" t="s">
        <v>14</v>
      </c>
      <c r="E32" t="s">
        <v>15</v>
      </c>
      <c r="F32" t="s">
        <v>66</v>
      </c>
      <c r="G32" t="s">
        <v>461</v>
      </c>
      <c r="H32" t="s">
        <v>18</v>
      </c>
      <c r="I32" t="s">
        <v>275</v>
      </c>
      <c r="J32">
        <v>1</v>
      </c>
      <c r="K32" t="s">
        <v>462</v>
      </c>
      <c r="L32">
        <v>0</v>
      </c>
      <c r="M32">
        <v>100</v>
      </c>
    </row>
    <row r="33" spans="1:13">
      <c r="A33">
        <v>32</v>
      </c>
      <c r="B33" t="s">
        <v>0</v>
      </c>
      <c r="C33" t="s">
        <v>13</v>
      </c>
      <c r="D33" t="s">
        <v>24</v>
      </c>
      <c r="E33" t="s">
        <v>42</v>
      </c>
      <c r="F33" t="s">
        <v>67</v>
      </c>
      <c r="G33" t="s">
        <v>463</v>
      </c>
      <c r="H33" t="s">
        <v>44</v>
      </c>
      <c r="I33" t="s">
        <v>275</v>
      </c>
      <c r="J33">
        <v>1</v>
      </c>
      <c r="K33" t="s">
        <v>464</v>
      </c>
      <c r="L33">
        <v>47.78</v>
      </c>
      <c r="M33">
        <v>100</v>
      </c>
    </row>
    <row r="34" spans="1:13">
      <c r="A34">
        <v>33</v>
      </c>
      <c r="B34" t="s">
        <v>0</v>
      </c>
      <c r="C34" t="s">
        <v>13</v>
      </c>
      <c r="D34" t="s">
        <v>27</v>
      </c>
      <c r="E34" t="s">
        <v>418</v>
      </c>
      <c r="F34" t="s">
        <v>68</v>
      </c>
      <c r="G34" t="s">
        <v>465</v>
      </c>
      <c r="H34" t="s">
        <v>420</v>
      </c>
      <c r="I34" t="s">
        <v>275</v>
      </c>
      <c r="J34">
        <v>1</v>
      </c>
      <c r="K34">
        <v>1750</v>
      </c>
      <c r="L34">
        <v>47.78</v>
      </c>
      <c r="M34">
        <v>100</v>
      </c>
    </row>
    <row r="35" spans="1:13">
      <c r="A35">
        <v>34</v>
      </c>
      <c r="B35" t="s">
        <v>0</v>
      </c>
      <c r="C35" t="s">
        <v>13</v>
      </c>
      <c r="D35" t="s">
        <v>29</v>
      </c>
      <c r="E35" t="s">
        <v>30</v>
      </c>
      <c r="F35" t="s">
        <v>69</v>
      </c>
      <c r="G35" t="s">
        <v>466</v>
      </c>
      <c r="H35" t="s">
        <v>32</v>
      </c>
      <c r="I35" t="s">
        <v>275</v>
      </c>
      <c r="J35">
        <v>1</v>
      </c>
      <c r="K35" t="s">
        <v>467</v>
      </c>
      <c r="L35">
        <v>47.78</v>
      </c>
      <c r="M35">
        <v>100</v>
      </c>
    </row>
    <row r="36" spans="1:13">
      <c r="A36">
        <v>35</v>
      </c>
      <c r="B36" t="s">
        <v>0</v>
      </c>
      <c r="C36" t="s">
        <v>13</v>
      </c>
      <c r="D36" t="s">
        <v>24</v>
      </c>
      <c r="E36" t="s">
        <v>42</v>
      </c>
      <c r="F36" t="s">
        <v>70</v>
      </c>
      <c r="G36" t="s">
        <v>279</v>
      </c>
      <c r="H36" t="s">
        <v>44</v>
      </c>
      <c r="I36" t="s">
        <v>275</v>
      </c>
      <c r="J36">
        <v>1</v>
      </c>
      <c r="K36" t="s">
        <v>468</v>
      </c>
      <c r="L36">
        <v>47.78</v>
      </c>
      <c r="M36">
        <v>100</v>
      </c>
    </row>
    <row r="37" spans="1:13">
      <c r="A37">
        <v>36</v>
      </c>
      <c r="B37" t="s">
        <v>0</v>
      </c>
      <c r="C37" t="s">
        <v>13</v>
      </c>
      <c r="D37" t="s">
        <v>34</v>
      </c>
      <c r="E37" t="s">
        <v>71</v>
      </c>
      <c r="F37" t="s">
        <v>72</v>
      </c>
      <c r="G37" t="s">
        <v>422</v>
      </c>
      <c r="H37" t="s">
        <v>73</v>
      </c>
      <c r="I37" t="s">
        <v>275</v>
      </c>
      <c r="J37">
        <v>1</v>
      </c>
      <c r="K37">
        <v>1290</v>
      </c>
      <c r="L37">
        <v>47.78</v>
      </c>
      <c r="M37">
        <v>100</v>
      </c>
    </row>
    <row r="38" spans="1:13">
      <c r="A38">
        <v>37</v>
      </c>
      <c r="B38" t="s">
        <v>0</v>
      </c>
      <c r="C38" t="s">
        <v>13</v>
      </c>
      <c r="D38" t="s">
        <v>27</v>
      </c>
      <c r="E38" t="s">
        <v>418</v>
      </c>
      <c r="F38" t="s">
        <v>74</v>
      </c>
      <c r="G38" t="s">
        <v>469</v>
      </c>
      <c r="H38" t="s">
        <v>420</v>
      </c>
      <c r="I38" t="s">
        <v>275</v>
      </c>
      <c r="J38">
        <v>1</v>
      </c>
      <c r="K38" t="s">
        <v>470</v>
      </c>
      <c r="L38">
        <v>0</v>
      </c>
      <c r="M38">
        <v>100</v>
      </c>
    </row>
    <row r="39" spans="1:13">
      <c r="A39">
        <v>38</v>
      </c>
      <c r="B39" t="s">
        <v>0</v>
      </c>
      <c r="C39" t="s">
        <v>13</v>
      </c>
      <c r="D39" t="s">
        <v>29</v>
      </c>
      <c r="E39" t="s">
        <v>46</v>
      </c>
      <c r="F39" t="s">
        <v>75</v>
      </c>
      <c r="G39" t="s">
        <v>76</v>
      </c>
      <c r="H39" t="s">
        <v>438</v>
      </c>
      <c r="I39" t="s">
        <v>275</v>
      </c>
      <c r="J39">
        <v>1</v>
      </c>
      <c r="K39" t="s">
        <v>471</v>
      </c>
      <c r="L39">
        <v>47.78</v>
      </c>
      <c r="M39">
        <v>100</v>
      </c>
    </row>
    <row r="40" spans="1:13">
      <c r="A40">
        <v>39</v>
      </c>
      <c r="B40" t="s">
        <v>0</v>
      </c>
      <c r="C40" t="s">
        <v>13</v>
      </c>
      <c r="D40" t="s">
        <v>29</v>
      </c>
      <c r="E40" t="s">
        <v>30</v>
      </c>
      <c r="F40" t="s">
        <v>77</v>
      </c>
      <c r="G40" t="s">
        <v>78</v>
      </c>
      <c r="H40" t="s">
        <v>32</v>
      </c>
      <c r="I40" t="s">
        <v>275</v>
      </c>
      <c r="J40">
        <v>1</v>
      </c>
      <c r="K40">
        <v>1500</v>
      </c>
      <c r="L40">
        <v>47.78</v>
      </c>
      <c r="M40">
        <v>100</v>
      </c>
    </row>
    <row r="41" spans="1:13">
      <c r="A41">
        <v>40</v>
      </c>
      <c r="B41" t="s">
        <v>0</v>
      </c>
      <c r="C41" t="s">
        <v>13</v>
      </c>
      <c r="D41" t="s">
        <v>24</v>
      </c>
      <c r="E41" t="s">
        <v>42</v>
      </c>
      <c r="F41" t="s">
        <v>79</v>
      </c>
      <c r="G41" t="s">
        <v>472</v>
      </c>
      <c r="H41" t="s">
        <v>44</v>
      </c>
      <c r="I41" t="s">
        <v>275</v>
      </c>
      <c r="J41">
        <v>1</v>
      </c>
      <c r="K41" t="s">
        <v>473</v>
      </c>
      <c r="L41">
        <v>47.78</v>
      </c>
      <c r="M41">
        <v>100</v>
      </c>
    </row>
    <row r="42" spans="1:13">
      <c r="A42">
        <v>41</v>
      </c>
      <c r="B42" t="s">
        <v>0</v>
      </c>
      <c r="C42" t="s">
        <v>13</v>
      </c>
      <c r="D42" t="s">
        <v>14</v>
      </c>
      <c r="E42" t="s">
        <v>15</v>
      </c>
      <c r="F42" t="s">
        <v>80</v>
      </c>
      <c r="G42" t="s">
        <v>290</v>
      </c>
      <c r="H42" t="s">
        <v>18</v>
      </c>
      <c r="I42" t="s">
        <v>275</v>
      </c>
      <c r="J42">
        <v>1</v>
      </c>
      <c r="K42">
        <v>1650</v>
      </c>
      <c r="L42">
        <v>47.78</v>
      </c>
      <c r="M42">
        <v>100</v>
      </c>
    </row>
    <row r="43" spans="1:13">
      <c r="A43">
        <v>42</v>
      </c>
      <c r="B43" t="s">
        <v>0</v>
      </c>
      <c r="C43" t="s">
        <v>13</v>
      </c>
      <c r="D43" t="s">
        <v>27</v>
      </c>
      <c r="E43" t="s">
        <v>418</v>
      </c>
      <c r="F43" t="s">
        <v>81</v>
      </c>
      <c r="G43" t="s">
        <v>474</v>
      </c>
      <c r="H43" t="s">
        <v>420</v>
      </c>
      <c r="I43" t="s">
        <v>275</v>
      </c>
      <c r="J43">
        <v>1</v>
      </c>
      <c r="K43" t="s">
        <v>475</v>
      </c>
      <c r="L43">
        <v>0</v>
      </c>
      <c r="M43">
        <v>100</v>
      </c>
    </row>
    <row r="44" spans="1:13">
      <c r="A44">
        <v>43</v>
      </c>
      <c r="B44" t="s">
        <v>0</v>
      </c>
      <c r="C44" t="s">
        <v>13</v>
      </c>
      <c r="D44" t="s">
        <v>27</v>
      </c>
      <c r="E44" t="s">
        <v>82</v>
      </c>
      <c r="F44" t="s">
        <v>83</v>
      </c>
      <c r="G44" t="s">
        <v>283</v>
      </c>
      <c r="H44" t="s">
        <v>84</v>
      </c>
      <c r="I44" t="s">
        <v>275</v>
      </c>
      <c r="J44">
        <v>1</v>
      </c>
      <c r="K44" t="s">
        <v>476</v>
      </c>
      <c r="L44">
        <v>47.78</v>
      </c>
      <c r="M44">
        <v>100</v>
      </c>
    </row>
    <row r="45" spans="1:13">
      <c r="A45">
        <v>44</v>
      </c>
      <c r="B45" t="s">
        <v>0</v>
      </c>
      <c r="C45" t="s">
        <v>13</v>
      </c>
      <c r="D45" t="s">
        <v>14</v>
      </c>
      <c r="E45" t="s">
        <v>19</v>
      </c>
      <c r="F45" t="s">
        <v>85</v>
      </c>
      <c r="G45" t="s">
        <v>288</v>
      </c>
      <c r="H45" t="s">
        <v>21</v>
      </c>
      <c r="I45" t="s">
        <v>275</v>
      </c>
      <c r="J45">
        <v>1</v>
      </c>
      <c r="K45" t="s">
        <v>477</v>
      </c>
      <c r="L45">
        <v>47.78</v>
      </c>
      <c r="M45">
        <v>100</v>
      </c>
    </row>
    <row r="46" spans="1:13">
      <c r="A46">
        <v>45</v>
      </c>
      <c r="B46" t="s">
        <v>0</v>
      </c>
      <c r="C46" t="s">
        <v>13</v>
      </c>
      <c r="D46" t="s">
        <v>29</v>
      </c>
      <c r="E46" t="s">
        <v>30</v>
      </c>
      <c r="F46" t="s">
        <v>86</v>
      </c>
      <c r="G46" t="s">
        <v>288</v>
      </c>
      <c r="H46" t="s">
        <v>32</v>
      </c>
      <c r="I46" t="s">
        <v>275</v>
      </c>
      <c r="J46">
        <v>1</v>
      </c>
      <c r="K46" t="s">
        <v>478</v>
      </c>
      <c r="L46">
        <v>47.78</v>
      </c>
      <c r="M46">
        <v>100</v>
      </c>
    </row>
    <row r="47" spans="1:13">
      <c r="A47">
        <v>46</v>
      </c>
      <c r="B47" t="s">
        <v>0</v>
      </c>
      <c r="C47" t="s">
        <v>13</v>
      </c>
      <c r="D47" t="s">
        <v>24</v>
      </c>
      <c r="E47" t="s">
        <v>42</v>
      </c>
      <c r="F47" t="s">
        <v>87</v>
      </c>
      <c r="G47" t="s">
        <v>88</v>
      </c>
      <c r="H47" t="s">
        <v>44</v>
      </c>
      <c r="I47" t="s">
        <v>275</v>
      </c>
      <c r="J47">
        <v>1</v>
      </c>
      <c r="K47" t="s">
        <v>479</v>
      </c>
      <c r="L47">
        <v>47.78</v>
      </c>
      <c r="M47">
        <v>100</v>
      </c>
    </row>
    <row r="48" spans="1:13">
      <c r="A48">
        <v>47</v>
      </c>
      <c r="B48" t="s">
        <v>0</v>
      </c>
      <c r="C48" t="s">
        <v>13</v>
      </c>
      <c r="D48" t="s">
        <v>24</v>
      </c>
      <c r="E48" t="s">
        <v>25</v>
      </c>
      <c r="F48" t="s">
        <v>89</v>
      </c>
      <c r="G48" t="s">
        <v>283</v>
      </c>
      <c r="H48" t="s">
        <v>416</v>
      </c>
      <c r="I48" t="s">
        <v>275</v>
      </c>
      <c r="J48">
        <v>1</v>
      </c>
      <c r="K48">
        <v>1360</v>
      </c>
      <c r="L48">
        <v>47.78</v>
      </c>
      <c r="M48">
        <v>100</v>
      </c>
    </row>
    <row r="49" spans="1:13">
      <c r="A49">
        <v>48</v>
      </c>
      <c r="B49" t="s">
        <v>0</v>
      </c>
      <c r="C49" t="s">
        <v>13</v>
      </c>
      <c r="D49" t="s">
        <v>34</v>
      </c>
      <c r="E49" t="s">
        <v>35</v>
      </c>
      <c r="F49" t="s">
        <v>90</v>
      </c>
      <c r="G49" t="s">
        <v>480</v>
      </c>
      <c r="H49" t="s">
        <v>37</v>
      </c>
      <c r="I49" t="s">
        <v>275</v>
      </c>
      <c r="J49">
        <v>1</v>
      </c>
      <c r="K49" t="s">
        <v>481</v>
      </c>
      <c r="L49">
        <v>47.78</v>
      </c>
      <c r="M49">
        <v>100</v>
      </c>
    </row>
    <row r="50" spans="1:13">
      <c r="A50">
        <v>49</v>
      </c>
      <c r="B50" t="s">
        <v>0</v>
      </c>
      <c r="C50" t="s">
        <v>13</v>
      </c>
      <c r="D50" t="s">
        <v>24</v>
      </c>
      <c r="E50" t="s">
        <v>25</v>
      </c>
      <c r="F50" t="s">
        <v>91</v>
      </c>
      <c r="G50" t="s">
        <v>439</v>
      </c>
      <c r="H50" t="s">
        <v>416</v>
      </c>
      <c r="I50" t="s">
        <v>275</v>
      </c>
      <c r="J50">
        <v>1</v>
      </c>
      <c r="K50" t="s">
        <v>482</v>
      </c>
      <c r="L50">
        <v>47.78</v>
      </c>
      <c r="M50">
        <v>100</v>
      </c>
    </row>
    <row r="51" spans="1:13">
      <c r="A51">
        <v>50</v>
      </c>
      <c r="B51" t="s">
        <v>0</v>
      </c>
      <c r="C51" t="s">
        <v>13</v>
      </c>
      <c r="D51" t="s">
        <v>14</v>
      </c>
      <c r="E51" t="s">
        <v>19</v>
      </c>
      <c r="F51" t="s">
        <v>92</v>
      </c>
      <c r="G51" t="s">
        <v>483</v>
      </c>
      <c r="H51" t="s">
        <v>21</v>
      </c>
      <c r="I51" t="s">
        <v>275</v>
      </c>
      <c r="J51">
        <v>1</v>
      </c>
      <c r="K51" t="s">
        <v>484</v>
      </c>
      <c r="L51">
        <v>47.78</v>
      </c>
      <c r="M51">
        <v>100</v>
      </c>
    </row>
    <row r="52" spans="1:13">
      <c r="A52">
        <v>51</v>
      </c>
      <c r="B52" t="s">
        <v>0</v>
      </c>
      <c r="C52" t="s">
        <v>13</v>
      </c>
      <c r="D52" t="s">
        <v>24</v>
      </c>
      <c r="E52" t="s">
        <v>25</v>
      </c>
      <c r="F52" t="s">
        <v>93</v>
      </c>
      <c r="G52" t="s">
        <v>88</v>
      </c>
      <c r="H52" t="s">
        <v>416</v>
      </c>
      <c r="I52" t="s">
        <v>275</v>
      </c>
      <c r="J52">
        <v>0.5</v>
      </c>
      <c r="K52" t="s">
        <v>485</v>
      </c>
      <c r="L52">
        <v>47.78</v>
      </c>
      <c r="M52">
        <v>100</v>
      </c>
    </row>
    <row r="53" spans="1:13">
      <c r="A53">
        <v>52</v>
      </c>
      <c r="B53" t="s">
        <v>0</v>
      </c>
      <c r="C53" t="s">
        <v>13</v>
      </c>
      <c r="D53" t="s">
        <v>29</v>
      </c>
      <c r="E53" t="s">
        <v>46</v>
      </c>
      <c r="F53" t="s">
        <v>94</v>
      </c>
      <c r="G53" t="s">
        <v>469</v>
      </c>
      <c r="H53" t="s">
        <v>438</v>
      </c>
      <c r="I53" t="s">
        <v>275</v>
      </c>
      <c r="J53">
        <v>0.5</v>
      </c>
      <c r="K53" t="s">
        <v>486</v>
      </c>
      <c r="L53">
        <v>47.78</v>
      </c>
      <c r="M53">
        <v>100</v>
      </c>
    </row>
    <row r="54" spans="1:13">
      <c r="A54">
        <v>53</v>
      </c>
      <c r="B54" t="s">
        <v>0</v>
      </c>
      <c r="C54" t="s">
        <v>13</v>
      </c>
      <c r="D54" t="s">
        <v>14</v>
      </c>
      <c r="E54" t="s">
        <v>19</v>
      </c>
      <c r="F54" t="s">
        <v>95</v>
      </c>
      <c r="G54" t="s">
        <v>285</v>
      </c>
      <c r="H54" t="s">
        <v>21</v>
      </c>
      <c r="I54" t="s">
        <v>275</v>
      </c>
      <c r="J54">
        <v>1</v>
      </c>
      <c r="K54" t="s">
        <v>487</v>
      </c>
      <c r="L54">
        <v>47.78</v>
      </c>
      <c r="M54">
        <v>100</v>
      </c>
    </row>
    <row r="55" spans="1:13">
      <c r="A55">
        <v>54</v>
      </c>
      <c r="B55" t="s">
        <v>0</v>
      </c>
      <c r="C55" t="s">
        <v>13</v>
      </c>
      <c r="D55" t="s">
        <v>14</v>
      </c>
      <c r="E55" t="s">
        <v>19</v>
      </c>
      <c r="F55" t="s">
        <v>96</v>
      </c>
      <c r="G55" t="s">
        <v>488</v>
      </c>
      <c r="H55" t="s">
        <v>21</v>
      </c>
      <c r="I55" t="s">
        <v>275</v>
      </c>
      <c r="J55">
        <v>1</v>
      </c>
      <c r="K55" t="s">
        <v>489</v>
      </c>
      <c r="L55">
        <v>47.78</v>
      </c>
      <c r="M55">
        <v>100</v>
      </c>
    </row>
    <row r="56" spans="1:13">
      <c r="A56">
        <v>55</v>
      </c>
      <c r="B56" t="s">
        <v>0</v>
      </c>
      <c r="C56" t="s">
        <v>13</v>
      </c>
      <c r="D56" t="s">
        <v>27</v>
      </c>
      <c r="E56" t="s">
        <v>418</v>
      </c>
      <c r="F56" t="s">
        <v>97</v>
      </c>
      <c r="G56" t="s">
        <v>448</v>
      </c>
      <c r="H56" t="s">
        <v>420</v>
      </c>
      <c r="I56" t="s">
        <v>275</v>
      </c>
      <c r="J56">
        <v>1</v>
      </c>
      <c r="K56" t="s">
        <v>490</v>
      </c>
      <c r="L56">
        <v>47.78</v>
      </c>
      <c r="M56">
        <v>100</v>
      </c>
    </row>
    <row r="57" spans="1:13">
      <c r="A57">
        <v>56</v>
      </c>
      <c r="B57" t="s">
        <v>0</v>
      </c>
      <c r="C57" t="s">
        <v>13</v>
      </c>
      <c r="D57" t="s">
        <v>14</v>
      </c>
      <c r="E57" t="s">
        <v>19</v>
      </c>
      <c r="F57" t="s">
        <v>98</v>
      </c>
      <c r="G57" t="s">
        <v>48</v>
      </c>
      <c r="H57" t="s">
        <v>21</v>
      </c>
      <c r="I57" t="s">
        <v>275</v>
      </c>
      <c r="J57">
        <v>1</v>
      </c>
      <c r="K57" t="s">
        <v>491</v>
      </c>
      <c r="L57">
        <v>47.78</v>
      </c>
      <c r="M57">
        <v>100</v>
      </c>
    </row>
    <row r="58" spans="1:13">
      <c r="A58">
        <v>57</v>
      </c>
      <c r="B58" t="s">
        <v>0</v>
      </c>
      <c r="C58" t="s">
        <v>13</v>
      </c>
      <c r="D58" t="s">
        <v>27</v>
      </c>
      <c r="E58" t="s">
        <v>82</v>
      </c>
      <c r="F58" t="s">
        <v>99</v>
      </c>
      <c r="G58" t="s">
        <v>444</v>
      </c>
      <c r="H58" t="s">
        <v>84</v>
      </c>
      <c r="I58" t="s">
        <v>275</v>
      </c>
      <c r="J58">
        <v>1</v>
      </c>
      <c r="K58" t="s">
        <v>492</v>
      </c>
      <c r="L58">
        <v>47.78</v>
      </c>
      <c r="M58">
        <v>100</v>
      </c>
    </row>
    <row r="59" spans="1:13">
      <c r="A59">
        <v>58</v>
      </c>
      <c r="B59" t="s">
        <v>0</v>
      </c>
      <c r="C59" t="s">
        <v>13</v>
      </c>
      <c r="D59" t="s">
        <v>29</v>
      </c>
      <c r="E59" t="s">
        <v>30</v>
      </c>
      <c r="F59" t="s">
        <v>100</v>
      </c>
      <c r="G59" t="s">
        <v>493</v>
      </c>
      <c r="H59" t="s">
        <v>32</v>
      </c>
      <c r="I59" t="s">
        <v>275</v>
      </c>
      <c r="J59">
        <v>1</v>
      </c>
      <c r="K59" t="s">
        <v>494</v>
      </c>
      <c r="L59">
        <v>47.78</v>
      </c>
      <c r="M59">
        <v>100</v>
      </c>
    </row>
    <row r="60" spans="1:13">
      <c r="A60">
        <v>59</v>
      </c>
      <c r="B60" t="s">
        <v>0</v>
      </c>
      <c r="C60" t="s">
        <v>13</v>
      </c>
      <c r="D60" t="s">
        <v>14</v>
      </c>
      <c r="E60" t="s">
        <v>15</v>
      </c>
      <c r="F60" t="s">
        <v>101</v>
      </c>
      <c r="G60" t="s">
        <v>425</v>
      </c>
      <c r="H60" t="s">
        <v>18</v>
      </c>
      <c r="I60" t="s">
        <v>275</v>
      </c>
      <c r="J60">
        <v>1</v>
      </c>
      <c r="K60" t="s">
        <v>495</v>
      </c>
      <c r="L60">
        <v>47.78</v>
      </c>
      <c r="M60">
        <v>100</v>
      </c>
    </row>
    <row r="61" spans="1:13">
      <c r="A61">
        <v>60</v>
      </c>
      <c r="B61" t="s">
        <v>0</v>
      </c>
      <c r="C61" t="s">
        <v>13</v>
      </c>
      <c r="D61" t="s">
        <v>24</v>
      </c>
      <c r="E61" t="s">
        <v>25</v>
      </c>
      <c r="F61" t="s">
        <v>102</v>
      </c>
      <c r="G61" t="s">
        <v>444</v>
      </c>
      <c r="H61" t="s">
        <v>416</v>
      </c>
      <c r="I61" t="s">
        <v>275</v>
      </c>
      <c r="J61">
        <v>1</v>
      </c>
      <c r="K61" t="s">
        <v>496</v>
      </c>
      <c r="L61">
        <v>47.78</v>
      </c>
      <c r="M61">
        <v>100</v>
      </c>
    </row>
    <row r="62" spans="1:13">
      <c r="A62">
        <v>61</v>
      </c>
      <c r="B62" t="s">
        <v>0</v>
      </c>
      <c r="C62" t="s">
        <v>13</v>
      </c>
      <c r="D62" t="s">
        <v>29</v>
      </c>
      <c r="E62" t="s">
        <v>46</v>
      </c>
      <c r="F62" t="s">
        <v>103</v>
      </c>
      <c r="G62" t="s">
        <v>294</v>
      </c>
      <c r="H62" t="s">
        <v>438</v>
      </c>
      <c r="I62" t="s">
        <v>275</v>
      </c>
      <c r="J62">
        <v>1</v>
      </c>
      <c r="K62" t="s">
        <v>497</v>
      </c>
      <c r="L62">
        <v>47.78</v>
      </c>
      <c r="M62">
        <v>100</v>
      </c>
    </row>
    <row r="63" spans="1:13">
      <c r="A63">
        <v>62</v>
      </c>
      <c r="B63" t="s">
        <v>0</v>
      </c>
      <c r="C63" t="s">
        <v>13</v>
      </c>
      <c r="D63" t="s">
        <v>14</v>
      </c>
      <c r="E63" t="s">
        <v>15</v>
      </c>
      <c r="F63" t="s">
        <v>104</v>
      </c>
      <c r="G63" t="s">
        <v>469</v>
      </c>
      <c r="H63" t="s">
        <v>18</v>
      </c>
      <c r="I63" t="s">
        <v>275</v>
      </c>
      <c r="J63">
        <v>1</v>
      </c>
      <c r="K63" t="s">
        <v>498</v>
      </c>
      <c r="L63">
        <v>47.78</v>
      </c>
      <c r="M63">
        <v>100</v>
      </c>
    </row>
    <row r="64" spans="1:13">
      <c r="A64">
        <v>63</v>
      </c>
      <c r="B64" t="s">
        <v>0</v>
      </c>
      <c r="C64" t="s">
        <v>13</v>
      </c>
      <c r="D64" t="s">
        <v>14</v>
      </c>
      <c r="E64" t="s">
        <v>15</v>
      </c>
      <c r="F64" t="s">
        <v>105</v>
      </c>
      <c r="G64" t="s">
        <v>499</v>
      </c>
      <c r="H64" t="s">
        <v>18</v>
      </c>
      <c r="I64" t="s">
        <v>275</v>
      </c>
      <c r="J64">
        <v>1</v>
      </c>
      <c r="K64" t="s">
        <v>500</v>
      </c>
      <c r="L64">
        <v>47.78</v>
      </c>
      <c r="M64">
        <v>100</v>
      </c>
    </row>
    <row r="65" spans="1:13">
      <c r="A65">
        <v>64</v>
      </c>
      <c r="B65" t="s">
        <v>0</v>
      </c>
      <c r="C65" t="s">
        <v>13</v>
      </c>
      <c r="D65" t="s">
        <v>34</v>
      </c>
      <c r="E65" t="s">
        <v>71</v>
      </c>
      <c r="F65" t="s">
        <v>106</v>
      </c>
      <c r="G65" t="s">
        <v>501</v>
      </c>
      <c r="H65" t="s">
        <v>73</v>
      </c>
      <c r="I65" t="s">
        <v>275</v>
      </c>
      <c r="J65">
        <v>1</v>
      </c>
      <c r="K65" t="s">
        <v>502</v>
      </c>
      <c r="L65">
        <v>47.78</v>
      </c>
      <c r="M65">
        <v>100</v>
      </c>
    </row>
    <row r="66" spans="1:13">
      <c r="A66">
        <v>65</v>
      </c>
      <c r="B66" t="s">
        <v>0</v>
      </c>
      <c r="C66" t="s">
        <v>13</v>
      </c>
      <c r="D66" t="s">
        <v>24</v>
      </c>
      <c r="E66" t="s">
        <v>42</v>
      </c>
      <c r="F66" t="s">
        <v>107</v>
      </c>
      <c r="G66" t="s">
        <v>501</v>
      </c>
      <c r="H66" t="s">
        <v>44</v>
      </c>
      <c r="I66" t="s">
        <v>275</v>
      </c>
      <c r="J66">
        <v>1</v>
      </c>
      <c r="K66" t="s">
        <v>503</v>
      </c>
      <c r="L66">
        <v>47.78</v>
      </c>
      <c r="M66">
        <v>100</v>
      </c>
    </row>
    <row r="67" spans="1:13">
      <c r="A67">
        <v>66</v>
      </c>
      <c r="B67" t="s">
        <v>0</v>
      </c>
      <c r="C67" t="s">
        <v>13</v>
      </c>
      <c r="D67" t="s">
        <v>34</v>
      </c>
      <c r="E67" t="s">
        <v>71</v>
      </c>
      <c r="F67" t="s">
        <v>108</v>
      </c>
      <c r="G67" t="s">
        <v>504</v>
      </c>
      <c r="H67" t="s">
        <v>73</v>
      </c>
      <c r="I67" t="s">
        <v>275</v>
      </c>
      <c r="J67">
        <v>1</v>
      </c>
      <c r="K67" t="s">
        <v>505</v>
      </c>
      <c r="L67">
        <v>47.78</v>
      </c>
      <c r="M67">
        <v>100</v>
      </c>
    </row>
    <row r="68" spans="1:13">
      <c r="A68">
        <v>67</v>
      </c>
      <c r="B68" t="s">
        <v>0</v>
      </c>
      <c r="C68" t="s">
        <v>13</v>
      </c>
      <c r="D68" t="s">
        <v>14</v>
      </c>
      <c r="E68" t="s">
        <v>15</v>
      </c>
      <c r="F68" t="s">
        <v>109</v>
      </c>
      <c r="G68" t="s">
        <v>110</v>
      </c>
      <c r="H68" t="s">
        <v>18</v>
      </c>
      <c r="I68" t="s">
        <v>275</v>
      </c>
      <c r="J68">
        <v>1</v>
      </c>
      <c r="K68" t="s">
        <v>430</v>
      </c>
      <c r="L68">
        <v>47.78</v>
      </c>
      <c r="M68">
        <v>100</v>
      </c>
    </row>
    <row r="69" spans="1:13">
      <c r="A69">
        <v>68</v>
      </c>
      <c r="B69" t="s">
        <v>0</v>
      </c>
      <c r="C69" t="s">
        <v>13</v>
      </c>
      <c r="D69" t="s">
        <v>27</v>
      </c>
      <c r="E69" t="s">
        <v>82</v>
      </c>
      <c r="F69" t="s">
        <v>111</v>
      </c>
      <c r="G69" t="s">
        <v>276</v>
      </c>
      <c r="H69" t="s">
        <v>84</v>
      </c>
      <c r="I69" t="s">
        <v>275</v>
      </c>
      <c r="J69">
        <v>1</v>
      </c>
      <c r="K69" t="s">
        <v>506</v>
      </c>
      <c r="L69">
        <v>47.78</v>
      </c>
      <c r="M69">
        <v>100</v>
      </c>
    </row>
    <row r="70" spans="1:13">
      <c r="A70">
        <v>69</v>
      </c>
      <c r="B70" t="s">
        <v>0</v>
      </c>
      <c r="C70" t="s">
        <v>13</v>
      </c>
      <c r="D70" t="s">
        <v>14</v>
      </c>
      <c r="E70" t="s">
        <v>15</v>
      </c>
      <c r="F70" t="s">
        <v>112</v>
      </c>
      <c r="G70" t="s">
        <v>507</v>
      </c>
      <c r="H70" t="s">
        <v>18</v>
      </c>
      <c r="I70" t="s">
        <v>275</v>
      </c>
      <c r="J70">
        <v>1</v>
      </c>
      <c r="K70" t="s">
        <v>508</v>
      </c>
      <c r="L70">
        <v>47.78</v>
      </c>
      <c r="M70">
        <v>100</v>
      </c>
    </row>
    <row r="71" spans="1:13">
      <c r="A71">
        <v>70</v>
      </c>
      <c r="B71" t="s">
        <v>0</v>
      </c>
      <c r="C71" t="s">
        <v>13</v>
      </c>
      <c r="D71" t="s">
        <v>14</v>
      </c>
      <c r="E71" t="s">
        <v>15</v>
      </c>
      <c r="F71" t="s">
        <v>113</v>
      </c>
      <c r="G71" t="s">
        <v>282</v>
      </c>
      <c r="H71" t="s">
        <v>18</v>
      </c>
      <c r="I71" t="s">
        <v>275</v>
      </c>
      <c r="J71">
        <v>1</v>
      </c>
      <c r="K71" t="s">
        <v>509</v>
      </c>
      <c r="L71">
        <v>47.78</v>
      </c>
      <c r="M71">
        <v>100</v>
      </c>
    </row>
    <row r="72" spans="1:13">
      <c r="A72">
        <v>71</v>
      </c>
      <c r="B72" t="s">
        <v>0</v>
      </c>
      <c r="C72" t="s">
        <v>13</v>
      </c>
      <c r="D72" t="s">
        <v>24</v>
      </c>
      <c r="E72" t="s">
        <v>25</v>
      </c>
      <c r="F72" t="s">
        <v>114</v>
      </c>
      <c r="G72" t="s">
        <v>510</v>
      </c>
      <c r="H72" t="s">
        <v>416</v>
      </c>
      <c r="I72" t="s">
        <v>275</v>
      </c>
      <c r="J72">
        <v>1</v>
      </c>
      <c r="K72" t="s">
        <v>511</v>
      </c>
      <c r="L72">
        <v>0</v>
      </c>
      <c r="M72">
        <v>100</v>
      </c>
    </row>
    <row r="73" spans="1:13">
      <c r="A73">
        <v>72</v>
      </c>
      <c r="B73" t="s">
        <v>0</v>
      </c>
      <c r="C73" t="s">
        <v>13</v>
      </c>
      <c r="D73" t="s">
        <v>24</v>
      </c>
      <c r="E73" t="s">
        <v>42</v>
      </c>
      <c r="F73" t="s">
        <v>115</v>
      </c>
      <c r="G73" t="s">
        <v>488</v>
      </c>
      <c r="H73" t="s">
        <v>44</v>
      </c>
      <c r="I73" t="s">
        <v>275</v>
      </c>
      <c r="J73">
        <v>1</v>
      </c>
      <c r="K73" t="s">
        <v>512</v>
      </c>
      <c r="L73">
        <v>47.78</v>
      </c>
      <c r="M73">
        <v>100</v>
      </c>
    </row>
    <row r="74" spans="1:13">
      <c r="A74">
        <v>73</v>
      </c>
      <c r="B74" t="s">
        <v>0</v>
      </c>
      <c r="C74" t="s">
        <v>13</v>
      </c>
      <c r="D74" t="s">
        <v>14</v>
      </c>
      <c r="E74" t="s">
        <v>15</v>
      </c>
      <c r="F74" t="s">
        <v>116</v>
      </c>
      <c r="G74" t="s">
        <v>110</v>
      </c>
      <c r="H74" t="s">
        <v>18</v>
      </c>
      <c r="I74" t="s">
        <v>275</v>
      </c>
      <c r="J74">
        <v>1</v>
      </c>
      <c r="K74" t="s">
        <v>513</v>
      </c>
      <c r="L74">
        <v>47.78</v>
      </c>
      <c r="M74">
        <v>100</v>
      </c>
    </row>
    <row r="75" spans="1:13">
      <c r="A75">
        <v>74</v>
      </c>
      <c r="B75" t="s">
        <v>0</v>
      </c>
      <c r="C75" t="s">
        <v>13</v>
      </c>
      <c r="D75" t="s">
        <v>34</v>
      </c>
      <c r="E75" t="s">
        <v>35</v>
      </c>
      <c r="F75" t="s">
        <v>117</v>
      </c>
      <c r="G75" t="s">
        <v>294</v>
      </c>
      <c r="H75" t="s">
        <v>37</v>
      </c>
      <c r="I75" t="s">
        <v>275</v>
      </c>
      <c r="J75">
        <v>1</v>
      </c>
      <c r="K75" t="s">
        <v>514</v>
      </c>
      <c r="L75">
        <v>47.78</v>
      </c>
      <c r="M75">
        <v>100</v>
      </c>
    </row>
    <row r="76" spans="1:13">
      <c r="A76">
        <v>75</v>
      </c>
      <c r="B76" t="s">
        <v>0</v>
      </c>
      <c r="C76" t="s">
        <v>13</v>
      </c>
      <c r="D76" t="s">
        <v>29</v>
      </c>
      <c r="E76" t="s">
        <v>46</v>
      </c>
      <c r="F76" t="s">
        <v>118</v>
      </c>
      <c r="G76" t="s">
        <v>465</v>
      </c>
      <c r="H76" t="s">
        <v>438</v>
      </c>
      <c r="I76" t="s">
        <v>275</v>
      </c>
      <c r="J76">
        <v>1</v>
      </c>
      <c r="K76">
        <v>1700</v>
      </c>
      <c r="L76">
        <v>47.78</v>
      </c>
      <c r="M76">
        <v>100</v>
      </c>
    </row>
    <row r="77" spans="1:13">
      <c r="A77">
        <v>76</v>
      </c>
      <c r="B77" t="s">
        <v>0</v>
      </c>
      <c r="C77" t="s">
        <v>13</v>
      </c>
      <c r="D77" t="s">
        <v>29</v>
      </c>
      <c r="E77" t="s">
        <v>46</v>
      </c>
      <c r="F77" t="s">
        <v>119</v>
      </c>
      <c r="G77" t="s">
        <v>88</v>
      </c>
      <c r="H77" t="s">
        <v>438</v>
      </c>
      <c r="I77" t="s">
        <v>275</v>
      </c>
      <c r="J77">
        <v>1</v>
      </c>
      <c r="K77" t="s">
        <v>515</v>
      </c>
      <c r="L77">
        <v>47.78</v>
      </c>
      <c r="M77">
        <v>100</v>
      </c>
    </row>
    <row r="78" spans="1:13">
      <c r="A78">
        <v>77</v>
      </c>
      <c r="B78" t="s">
        <v>0</v>
      </c>
      <c r="C78" t="s">
        <v>13</v>
      </c>
      <c r="D78" t="s">
        <v>24</v>
      </c>
      <c r="E78" t="s">
        <v>25</v>
      </c>
      <c r="F78" t="s">
        <v>120</v>
      </c>
      <c r="G78" t="s">
        <v>285</v>
      </c>
      <c r="H78" t="s">
        <v>416</v>
      </c>
      <c r="I78" t="s">
        <v>275</v>
      </c>
      <c r="J78">
        <v>1</v>
      </c>
      <c r="K78" t="s">
        <v>516</v>
      </c>
      <c r="L78">
        <v>47.78</v>
      </c>
      <c r="M78">
        <v>100</v>
      </c>
    </row>
    <row r="79" spans="1:13">
      <c r="A79">
        <v>78</v>
      </c>
      <c r="B79" t="s">
        <v>0</v>
      </c>
      <c r="C79" t="s">
        <v>13</v>
      </c>
      <c r="D79" t="s">
        <v>14</v>
      </c>
      <c r="E79" t="s">
        <v>15</v>
      </c>
      <c r="F79" t="s">
        <v>121</v>
      </c>
      <c r="G79" t="s">
        <v>285</v>
      </c>
      <c r="H79" t="s">
        <v>18</v>
      </c>
      <c r="I79" t="s">
        <v>275</v>
      </c>
      <c r="J79">
        <v>1</v>
      </c>
      <c r="K79" t="s">
        <v>517</v>
      </c>
      <c r="L79">
        <v>47.78</v>
      </c>
      <c r="M79">
        <v>100</v>
      </c>
    </row>
    <row r="80" spans="1:13">
      <c r="A80">
        <v>79</v>
      </c>
      <c r="B80" t="s">
        <v>0</v>
      </c>
      <c r="C80" t="s">
        <v>13</v>
      </c>
      <c r="D80" t="s">
        <v>24</v>
      </c>
      <c r="E80" t="s">
        <v>42</v>
      </c>
      <c r="F80" t="s">
        <v>122</v>
      </c>
      <c r="G80" t="s">
        <v>439</v>
      </c>
      <c r="H80" t="s">
        <v>44</v>
      </c>
      <c r="I80" t="s">
        <v>275</v>
      </c>
      <c r="J80">
        <v>1</v>
      </c>
      <c r="K80" t="s">
        <v>421</v>
      </c>
      <c r="L80">
        <v>47.78</v>
      </c>
      <c r="M80">
        <v>100</v>
      </c>
    </row>
    <row r="81" spans="1:13">
      <c r="A81">
        <v>80</v>
      </c>
      <c r="B81" t="s">
        <v>0</v>
      </c>
      <c r="C81" t="s">
        <v>13</v>
      </c>
      <c r="D81" t="s">
        <v>27</v>
      </c>
      <c r="E81" t="s">
        <v>82</v>
      </c>
      <c r="F81" t="s">
        <v>123</v>
      </c>
      <c r="G81" t="s">
        <v>282</v>
      </c>
      <c r="H81" t="s">
        <v>84</v>
      </c>
      <c r="I81" t="s">
        <v>275</v>
      </c>
      <c r="J81">
        <v>1</v>
      </c>
      <c r="K81" t="s">
        <v>518</v>
      </c>
      <c r="L81">
        <v>47.78</v>
      </c>
      <c r="M81">
        <v>100</v>
      </c>
    </row>
    <row r="82" spans="1:13">
      <c r="A82">
        <v>81</v>
      </c>
      <c r="B82" t="s">
        <v>0</v>
      </c>
      <c r="C82" t="s">
        <v>13</v>
      </c>
      <c r="D82" t="s">
        <v>27</v>
      </c>
      <c r="E82" t="s">
        <v>418</v>
      </c>
      <c r="F82" t="s">
        <v>124</v>
      </c>
      <c r="G82" t="s">
        <v>474</v>
      </c>
      <c r="H82" t="s">
        <v>420</v>
      </c>
      <c r="I82" t="s">
        <v>275</v>
      </c>
      <c r="J82">
        <v>1</v>
      </c>
      <c r="K82" t="s">
        <v>519</v>
      </c>
      <c r="L82">
        <v>47.78</v>
      </c>
      <c r="M82">
        <v>100</v>
      </c>
    </row>
    <row r="83" spans="1:13">
      <c r="A83">
        <v>82</v>
      </c>
      <c r="B83" t="s">
        <v>0</v>
      </c>
      <c r="C83" t="s">
        <v>13</v>
      </c>
      <c r="D83" t="s">
        <v>14</v>
      </c>
      <c r="E83" t="s">
        <v>15</v>
      </c>
      <c r="F83" t="s">
        <v>125</v>
      </c>
      <c r="G83" t="s">
        <v>280</v>
      </c>
      <c r="H83" t="s">
        <v>18</v>
      </c>
      <c r="I83" t="s">
        <v>275</v>
      </c>
      <c r="J83">
        <v>1</v>
      </c>
      <c r="K83" t="s">
        <v>520</v>
      </c>
      <c r="L83">
        <v>47.78</v>
      </c>
      <c r="M83">
        <v>100</v>
      </c>
    </row>
    <row r="84" spans="1:13">
      <c r="A84">
        <v>83</v>
      </c>
      <c r="B84" t="s">
        <v>0</v>
      </c>
      <c r="C84" t="s">
        <v>13</v>
      </c>
      <c r="D84" t="s">
        <v>29</v>
      </c>
      <c r="E84" t="s">
        <v>30</v>
      </c>
      <c r="F84" t="s">
        <v>126</v>
      </c>
      <c r="G84" t="s">
        <v>280</v>
      </c>
      <c r="H84" t="s">
        <v>32</v>
      </c>
      <c r="I84" t="s">
        <v>275</v>
      </c>
      <c r="J84">
        <v>1</v>
      </c>
      <c r="K84" t="s">
        <v>521</v>
      </c>
      <c r="L84">
        <v>47.78</v>
      </c>
      <c r="M84">
        <v>100</v>
      </c>
    </row>
    <row r="85" spans="1:13">
      <c r="A85">
        <v>84</v>
      </c>
      <c r="B85" t="s">
        <v>0</v>
      </c>
      <c r="C85" t="s">
        <v>13</v>
      </c>
      <c r="D85" t="s">
        <v>34</v>
      </c>
      <c r="E85" t="s">
        <v>71</v>
      </c>
      <c r="F85" t="s">
        <v>127</v>
      </c>
      <c r="G85" t="s">
        <v>522</v>
      </c>
      <c r="H85" t="s">
        <v>73</v>
      </c>
      <c r="I85" t="s">
        <v>275</v>
      </c>
      <c r="J85">
        <v>1</v>
      </c>
      <c r="K85" t="s">
        <v>523</v>
      </c>
      <c r="L85">
        <v>47.78</v>
      </c>
      <c r="M85">
        <v>100</v>
      </c>
    </row>
    <row r="86" spans="1:13">
      <c r="A86">
        <v>85</v>
      </c>
      <c r="B86" t="s">
        <v>1</v>
      </c>
      <c r="C86" t="s">
        <v>13</v>
      </c>
      <c r="D86" t="s">
        <v>29</v>
      </c>
      <c r="E86" t="s">
        <v>30</v>
      </c>
      <c r="F86" t="s">
        <v>128</v>
      </c>
      <c r="G86" t="s">
        <v>283</v>
      </c>
      <c r="H86" t="s">
        <v>32</v>
      </c>
      <c r="I86" t="s">
        <v>275</v>
      </c>
      <c r="J86">
        <v>1</v>
      </c>
      <c r="K86" t="s">
        <v>524</v>
      </c>
      <c r="L86">
        <v>47.78</v>
      </c>
      <c r="M86">
        <v>100</v>
      </c>
    </row>
    <row r="87" spans="1:13">
      <c r="A87">
        <v>86</v>
      </c>
      <c r="B87" t="s">
        <v>1</v>
      </c>
      <c r="C87" t="s">
        <v>13</v>
      </c>
      <c r="D87" t="s">
        <v>14</v>
      </c>
      <c r="E87" t="s">
        <v>15</v>
      </c>
      <c r="F87" t="s">
        <v>129</v>
      </c>
      <c r="G87" t="s">
        <v>280</v>
      </c>
      <c r="H87" t="s">
        <v>18</v>
      </c>
      <c r="I87" t="s">
        <v>275</v>
      </c>
      <c r="J87">
        <v>1</v>
      </c>
      <c r="K87" t="s">
        <v>525</v>
      </c>
      <c r="L87">
        <v>47.78</v>
      </c>
      <c r="M87">
        <v>100</v>
      </c>
    </row>
    <row r="88" spans="1:13">
      <c r="A88">
        <v>87</v>
      </c>
      <c r="B88" t="s">
        <v>1</v>
      </c>
      <c r="C88" t="s">
        <v>13</v>
      </c>
      <c r="D88" t="s">
        <v>29</v>
      </c>
      <c r="E88" t="s">
        <v>46</v>
      </c>
      <c r="F88" t="s">
        <v>130</v>
      </c>
      <c r="G88" t="s">
        <v>526</v>
      </c>
      <c r="H88" t="s">
        <v>438</v>
      </c>
      <c r="I88" t="s">
        <v>275</v>
      </c>
      <c r="J88">
        <v>1</v>
      </c>
      <c r="K88" t="s">
        <v>527</v>
      </c>
      <c r="L88">
        <v>47.78</v>
      </c>
      <c r="M88">
        <v>100</v>
      </c>
    </row>
    <row r="89" spans="1:13">
      <c r="A89">
        <v>88</v>
      </c>
      <c r="B89" t="s">
        <v>1</v>
      </c>
      <c r="C89" t="s">
        <v>13</v>
      </c>
      <c r="D89" t="s">
        <v>29</v>
      </c>
      <c r="E89" t="s">
        <v>30</v>
      </c>
      <c r="F89" t="s">
        <v>131</v>
      </c>
      <c r="G89" t="s">
        <v>528</v>
      </c>
      <c r="H89" t="s">
        <v>32</v>
      </c>
      <c r="I89" t="s">
        <v>275</v>
      </c>
      <c r="J89">
        <v>1</v>
      </c>
      <c r="K89" t="s">
        <v>529</v>
      </c>
      <c r="L89">
        <v>47.78</v>
      </c>
      <c r="M89">
        <v>100</v>
      </c>
    </row>
    <row r="90" spans="1:13">
      <c r="A90">
        <v>89</v>
      </c>
      <c r="B90" t="s">
        <v>1</v>
      </c>
      <c r="C90" t="s">
        <v>13</v>
      </c>
      <c r="D90" t="s">
        <v>14</v>
      </c>
      <c r="E90" t="s">
        <v>19</v>
      </c>
      <c r="F90" t="s">
        <v>132</v>
      </c>
      <c r="G90" t="s">
        <v>419</v>
      </c>
      <c r="H90" t="s">
        <v>21</v>
      </c>
      <c r="I90" t="s">
        <v>275</v>
      </c>
      <c r="J90">
        <v>1</v>
      </c>
      <c r="K90" t="s">
        <v>530</v>
      </c>
      <c r="L90">
        <v>47.78</v>
      </c>
      <c r="M90">
        <v>100</v>
      </c>
    </row>
    <row r="91" spans="1:13">
      <c r="A91">
        <v>90</v>
      </c>
      <c r="B91" t="s">
        <v>1</v>
      </c>
      <c r="C91" t="s">
        <v>13</v>
      </c>
      <c r="D91" t="s">
        <v>14</v>
      </c>
      <c r="E91" t="s">
        <v>15</v>
      </c>
      <c r="F91" t="s">
        <v>133</v>
      </c>
      <c r="G91" t="s">
        <v>295</v>
      </c>
      <c r="H91" t="s">
        <v>18</v>
      </c>
      <c r="I91" t="s">
        <v>275</v>
      </c>
      <c r="J91">
        <v>1</v>
      </c>
      <c r="K91">
        <v>1790</v>
      </c>
      <c r="L91">
        <v>47.78</v>
      </c>
      <c r="M91">
        <v>100</v>
      </c>
    </row>
    <row r="92" spans="1:13">
      <c r="A92">
        <v>91</v>
      </c>
      <c r="B92" t="s">
        <v>1</v>
      </c>
      <c r="C92" t="s">
        <v>13</v>
      </c>
      <c r="D92" t="s">
        <v>24</v>
      </c>
      <c r="E92" t="s">
        <v>25</v>
      </c>
      <c r="F92" t="s">
        <v>134</v>
      </c>
      <c r="G92" t="s">
        <v>507</v>
      </c>
      <c r="H92" t="s">
        <v>416</v>
      </c>
      <c r="I92" t="s">
        <v>275</v>
      </c>
      <c r="J92">
        <v>1</v>
      </c>
      <c r="K92" t="s">
        <v>531</v>
      </c>
      <c r="L92">
        <v>47.78</v>
      </c>
      <c r="M92">
        <v>100</v>
      </c>
    </row>
    <row r="93" spans="1:13">
      <c r="A93">
        <v>92</v>
      </c>
      <c r="B93" t="s">
        <v>1</v>
      </c>
      <c r="C93" t="s">
        <v>13</v>
      </c>
      <c r="D93" t="s">
        <v>27</v>
      </c>
      <c r="E93" t="s">
        <v>50</v>
      </c>
      <c r="F93" t="s">
        <v>135</v>
      </c>
      <c r="G93" t="s">
        <v>532</v>
      </c>
      <c r="H93" t="s">
        <v>52</v>
      </c>
      <c r="I93" t="s">
        <v>275</v>
      </c>
      <c r="J93">
        <v>1</v>
      </c>
      <c r="K93" t="s">
        <v>533</v>
      </c>
      <c r="L93">
        <v>47.78</v>
      </c>
      <c r="M93">
        <v>100</v>
      </c>
    </row>
    <row r="94" spans="1:13">
      <c r="A94">
        <v>93</v>
      </c>
      <c r="B94" t="s">
        <v>1</v>
      </c>
      <c r="C94" t="s">
        <v>13</v>
      </c>
      <c r="D94" t="s">
        <v>24</v>
      </c>
      <c r="E94" t="s">
        <v>42</v>
      </c>
      <c r="F94" t="s">
        <v>136</v>
      </c>
      <c r="G94" t="s">
        <v>534</v>
      </c>
      <c r="H94" t="s">
        <v>44</v>
      </c>
      <c r="I94" t="s">
        <v>275</v>
      </c>
      <c r="J94">
        <v>1</v>
      </c>
      <c r="K94" t="s">
        <v>535</v>
      </c>
      <c r="L94">
        <v>47.78</v>
      </c>
      <c r="M94">
        <v>100</v>
      </c>
    </row>
    <row r="95" spans="1:13">
      <c r="A95">
        <v>94</v>
      </c>
      <c r="B95" t="s">
        <v>1</v>
      </c>
      <c r="C95" t="s">
        <v>13</v>
      </c>
      <c r="D95" t="s">
        <v>14</v>
      </c>
      <c r="E95" t="s">
        <v>15</v>
      </c>
      <c r="F95" t="s">
        <v>137</v>
      </c>
      <c r="G95" t="s">
        <v>138</v>
      </c>
      <c r="H95" t="s">
        <v>18</v>
      </c>
      <c r="I95" t="s">
        <v>275</v>
      </c>
      <c r="J95">
        <v>1</v>
      </c>
      <c r="K95" t="s">
        <v>536</v>
      </c>
      <c r="L95">
        <v>47.78</v>
      </c>
      <c r="M95">
        <v>100</v>
      </c>
    </row>
    <row r="96" spans="1:13">
      <c r="A96">
        <v>95</v>
      </c>
      <c r="B96" t="s">
        <v>1</v>
      </c>
      <c r="C96" t="s">
        <v>13</v>
      </c>
      <c r="D96" t="s">
        <v>14</v>
      </c>
      <c r="E96" t="s">
        <v>19</v>
      </c>
      <c r="F96" t="s">
        <v>139</v>
      </c>
      <c r="G96" t="s">
        <v>452</v>
      </c>
      <c r="H96" t="s">
        <v>21</v>
      </c>
      <c r="I96" t="s">
        <v>275</v>
      </c>
      <c r="J96">
        <v>1</v>
      </c>
      <c r="K96" t="s">
        <v>537</v>
      </c>
      <c r="L96">
        <v>47.78</v>
      </c>
      <c r="M96">
        <v>100</v>
      </c>
    </row>
    <row r="97" spans="1:13">
      <c r="A97">
        <v>96</v>
      </c>
      <c r="B97" t="s">
        <v>1</v>
      </c>
      <c r="C97" t="s">
        <v>13</v>
      </c>
      <c r="D97" t="s">
        <v>34</v>
      </c>
      <c r="E97" t="s">
        <v>35</v>
      </c>
      <c r="F97" t="s">
        <v>140</v>
      </c>
      <c r="G97" t="s">
        <v>538</v>
      </c>
      <c r="H97" t="s">
        <v>37</v>
      </c>
      <c r="I97" t="s">
        <v>275</v>
      </c>
      <c r="J97">
        <v>1</v>
      </c>
      <c r="K97" t="s">
        <v>506</v>
      </c>
      <c r="L97">
        <v>47.78</v>
      </c>
      <c r="M97">
        <v>100</v>
      </c>
    </row>
    <row r="98" spans="1:13">
      <c r="A98">
        <v>97</v>
      </c>
      <c r="B98" t="s">
        <v>1</v>
      </c>
      <c r="C98" t="s">
        <v>13</v>
      </c>
      <c r="D98" t="s">
        <v>29</v>
      </c>
      <c r="E98" t="s">
        <v>46</v>
      </c>
      <c r="F98" t="s">
        <v>141</v>
      </c>
      <c r="G98" t="s">
        <v>539</v>
      </c>
      <c r="H98" t="s">
        <v>438</v>
      </c>
      <c r="I98" t="s">
        <v>275</v>
      </c>
      <c r="J98">
        <v>1</v>
      </c>
      <c r="K98" t="s">
        <v>540</v>
      </c>
      <c r="L98">
        <v>47.78</v>
      </c>
      <c r="M98">
        <v>100</v>
      </c>
    </row>
    <row r="99" spans="1:13">
      <c r="A99">
        <v>98</v>
      </c>
      <c r="B99" t="s">
        <v>1</v>
      </c>
      <c r="C99" t="s">
        <v>13</v>
      </c>
      <c r="D99" t="s">
        <v>24</v>
      </c>
      <c r="E99" t="s">
        <v>25</v>
      </c>
      <c r="F99" t="s">
        <v>142</v>
      </c>
      <c r="G99" t="s">
        <v>296</v>
      </c>
      <c r="H99" t="s">
        <v>416</v>
      </c>
      <c r="I99" t="s">
        <v>143</v>
      </c>
      <c r="J99">
        <v>1</v>
      </c>
      <c r="K99" t="s">
        <v>417</v>
      </c>
      <c r="L99">
        <v>47.78</v>
      </c>
      <c r="M99">
        <v>100</v>
      </c>
    </row>
    <row r="100" spans="1:13">
      <c r="A100">
        <v>99</v>
      </c>
      <c r="B100" t="s">
        <v>1</v>
      </c>
      <c r="C100" t="s">
        <v>13</v>
      </c>
      <c r="D100" t="s">
        <v>14</v>
      </c>
      <c r="E100" t="s">
        <v>19</v>
      </c>
      <c r="F100" t="s">
        <v>144</v>
      </c>
      <c r="G100" t="s">
        <v>541</v>
      </c>
      <c r="H100" t="s">
        <v>21</v>
      </c>
      <c r="I100" t="s">
        <v>275</v>
      </c>
      <c r="J100">
        <v>1</v>
      </c>
      <c r="K100" t="s">
        <v>542</v>
      </c>
      <c r="L100">
        <v>47.78</v>
      </c>
      <c r="M100">
        <v>100</v>
      </c>
    </row>
    <row r="101" spans="1:13">
      <c r="A101">
        <v>100</v>
      </c>
      <c r="B101" t="s">
        <v>0</v>
      </c>
      <c r="C101" t="s">
        <v>13</v>
      </c>
      <c r="D101" t="s">
        <v>14</v>
      </c>
      <c r="E101" t="s">
        <v>19</v>
      </c>
      <c r="F101" t="s">
        <v>145</v>
      </c>
      <c r="G101" t="s">
        <v>543</v>
      </c>
      <c r="H101" t="s">
        <v>21</v>
      </c>
      <c r="I101" t="s">
        <v>275</v>
      </c>
      <c r="J101">
        <v>1</v>
      </c>
      <c r="K101" t="s">
        <v>544</v>
      </c>
      <c r="L101">
        <v>47.78</v>
      </c>
      <c r="M101">
        <v>100</v>
      </c>
    </row>
    <row r="102" spans="1:13">
      <c r="A102">
        <v>101</v>
      </c>
      <c r="B102" t="s">
        <v>0</v>
      </c>
      <c r="C102" t="s">
        <v>13</v>
      </c>
      <c r="D102" t="s">
        <v>29</v>
      </c>
      <c r="E102" t="s">
        <v>30</v>
      </c>
      <c r="F102" t="s">
        <v>146</v>
      </c>
      <c r="G102" t="s">
        <v>439</v>
      </c>
      <c r="H102" t="s">
        <v>32</v>
      </c>
      <c r="I102" t="s">
        <v>275</v>
      </c>
      <c r="J102">
        <v>1</v>
      </c>
      <c r="K102" t="s">
        <v>545</v>
      </c>
      <c r="L102">
        <v>47.78</v>
      </c>
      <c r="M102">
        <v>100</v>
      </c>
    </row>
    <row r="103" spans="1:13">
      <c r="A103">
        <v>102</v>
      </c>
      <c r="B103" t="s">
        <v>0</v>
      </c>
      <c r="C103" t="s">
        <v>13</v>
      </c>
      <c r="D103" t="s">
        <v>29</v>
      </c>
      <c r="E103" t="s">
        <v>30</v>
      </c>
      <c r="F103" t="s">
        <v>147</v>
      </c>
      <c r="G103" t="s">
        <v>294</v>
      </c>
      <c r="H103" t="s">
        <v>32</v>
      </c>
      <c r="I103" t="s">
        <v>275</v>
      </c>
      <c r="J103">
        <v>1</v>
      </c>
      <c r="K103" t="s">
        <v>546</v>
      </c>
      <c r="L103">
        <v>47.78</v>
      </c>
      <c r="M103">
        <v>100</v>
      </c>
    </row>
    <row r="104" spans="1:13">
      <c r="A104">
        <v>103</v>
      </c>
      <c r="B104" t="s">
        <v>0</v>
      </c>
      <c r="C104" t="s">
        <v>13</v>
      </c>
      <c r="D104" t="s">
        <v>27</v>
      </c>
      <c r="E104" t="s">
        <v>418</v>
      </c>
      <c r="F104" t="s">
        <v>148</v>
      </c>
      <c r="G104" t="s">
        <v>441</v>
      </c>
      <c r="H104" t="s">
        <v>420</v>
      </c>
      <c r="I104" t="s">
        <v>275</v>
      </c>
      <c r="J104">
        <v>1</v>
      </c>
      <c r="K104" t="s">
        <v>547</v>
      </c>
      <c r="L104">
        <v>47.78</v>
      </c>
      <c r="M104">
        <v>100</v>
      </c>
    </row>
    <row r="105" spans="1:13">
      <c r="A105">
        <v>104</v>
      </c>
      <c r="B105" t="s">
        <v>0</v>
      </c>
      <c r="C105" t="s">
        <v>13</v>
      </c>
      <c r="D105" t="s">
        <v>29</v>
      </c>
      <c r="E105" t="s">
        <v>46</v>
      </c>
      <c r="F105" t="s">
        <v>149</v>
      </c>
      <c r="G105" t="s">
        <v>88</v>
      </c>
      <c r="H105" t="s">
        <v>438</v>
      </c>
      <c r="I105" t="s">
        <v>275</v>
      </c>
      <c r="J105">
        <v>1</v>
      </c>
      <c r="K105" t="s">
        <v>548</v>
      </c>
      <c r="L105">
        <v>47.78</v>
      </c>
      <c r="M105">
        <v>100</v>
      </c>
    </row>
    <row r="106" spans="1:13">
      <c r="A106">
        <v>105</v>
      </c>
      <c r="B106" t="s">
        <v>0</v>
      </c>
      <c r="C106" t="s">
        <v>13</v>
      </c>
      <c r="D106" t="s">
        <v>24</v>
      </c>
      <c r="E106" t="s">
        <v>25</v>
      </c>
      <c r="F106" t="s">
        <v>150</v>
      </c>
      <c r="G106" t="s">
        <v>425</v>
      </c>
      <c r="H106" t="s">
        <v>416</v>
      </c>
      <c r="I106" t="s">
        <v>275</v>
      </c>
      <c r="J106">
        <v>1</v>
      </c>
      <c r="K106" t="s">
        <v>549</v>
      </c>
      <c r="L106">
        <v>47.78</v>
      </c>
      <c r="M106">
        <v>100</v>
      </c>
    </row>
    <row r="107" spans="1:13">
      <c r="A107">
        <v>106</v>
      </c>
      <c r="B107" t="s">
        <v>1</v>
      </c>
      <c r="C107" t="s">
        <v>13</v>
      </c>
      <c r="D107" t="s">
        <v>14</v>
      </c>
      <c r="E107" t="s">
        <v>15</v>
      </c>
      <c r="F107" t="s">
        <v>151</v>
      </c>
      <c r="G107" t="s">
        <v>138</v>
      </c>
      <c r="H107" t="s">
        <v>18</v>
      </c>
      <c r="I107" t="s">
        <v>275</v>
      </c>
      <c r="J107">
        <v>1</v>
      </c>
      <c r="K107" t="s">
        <v>550</v>
      </c>
      <c r="L107">
        <v>47.78</v>
      </c>
      <c r="M107">
        <v>100</v>
      </c>
    </row>
    <row r="108" spans="1:13">
      <c r="A108">
        <v>107</v>
      </c>
      <c r="B108" t="s">
        <v>0</v>
      </c>
      <c r="C108" t="s">
        <v>13</v>
      </c>
      <c r="D108" t="s">
        <v>27</v>
      </c>
      <c r="E108" t="s">
        <v>418</v>
      </c>
      <c r="F108" t="s">
        <v>152</v>
      </c>
      <c r="G108" t="s">
        <v>551</v>
      </c>
      <c r="H108" t="s">
        <v>420</v>
      </c>
      <c r="I108" t="s">
        <v>275</v>
      </c>
      <c r="J108">
        <v>1</v>
      </c>
      <c r="K108" t="s">
        <v>552</v>
      </c>
      <c r="L108">
        <v>47.78</v>
      </c>
      <c r="M108">
        <v>100</v>
      </c>
    </row>
    <row r="109" spans="1:13">
      <c r="A109">
        <v>108</v>
      </c>
      <c r="B109" t="s">
        <v>0</v>
      </c>
      <c r="C109" t="s">
        <v>13</v>
      </c>
      <c r="D109" t="s">
        <v>34</v>
      </c>
      <c r="E109" t="s">
        <v>71</v>
      </c>
      <c r="F109" t="s">
        <v>153</v>
      </c>
      <c r="G109" t="s">
        <v>289</v>
      </c>
      <c r="H109" t="s">
        <v>73</v>
      </c>
      <c r="I109" t="s">
        <v>275</v>
      </c>
      <c r="J109">
        <v>1</v>
      </c>
      <c r="K109">
        <v>3140</v>
      </c>
      <c r="L109">
        <v>47.78</v>
      </c>
      <c r="M109">
        <v>100</v>
      </c>
    </row>
    <row r="110" spans="1:13">
      <c r="A110">
        <v>109</v>
      </c>
      <c r="B110" t="s">
        <v>0</v>
      </c>
      <c r="C110" t="s">
        <v>13</v>
      </c>
      <c r="D110" t="s">
        <v>29</v>
      </c>
      <c r="E110" t="s">
        <v>46</v>
      </c>
      <c r="F110" t="s">
        <v>154</v>
      </c>
      <c r="G110" t="s">
        <v>419</v>
      </c>
      <c r="H110" t="s">
        <v>438</v>
      </c>
      <c r="I110" t="s">
        <v>275</v>
      </c>
      <c r="J110">
        <v>1</v>
      </c>
      <c r="K110" t="s">
        <v>553</v>
      </c>
      <c r="L110">
        <v>47.78</v>
      </c>
      <c r="M110">
        <v>100</v>
      </c>
    </row>
    <row r="111" spans="1:13">
      <c r="A111">
        <v>110</v>
      </c>
      <c r="B111" t="s">
        <v>0</v>
      </c>
      <c r="C111" t="s">
        <v>13</v>
      </c>
      <c r="D111" t="s">
        <v>34</v>
      </c>
      <c r="E111" t="s">
        <v>71</v>
      </c>
      <c r="F111" t="s">
        <v>155</v>
      </c>
      <c r="G111" t="s">
        <v>543</v>
      </c>
      <c r="H111" t="s">
        <v>73</v>
      </c>
      <c r="I111" t="s">
        <v>275</v>
      </c>
      <c r="J111">
        <v>1</v>
      </c>
      <c r="K111" t="s">
        <v>554</v>
      </c>
      <c r="L111">
        <v>47.78</v>
      </c>
      <c r="M111">
        <v>100</v>
      </c>
    </row>
    <row r="112" spans="1:13">
      <c r="A112">
        <v>111</v>
      </c>
      <c r="B112" t="s">
        <v>0</v>
      </c>
      <c r="C112" t="s">
        <v>13</v>
      </c>
      <c r="D112" t="s">
        <v>27</v>
      </c>
      <c r="E112" t="s">
        <v>418</v>
      </c>
      <c r="F112" t="s">
        <v>156</v>
      </c>
      <c r="G112" t="s">
        <v>281</v>
      </c>
      <c r="H112" t="s">
        <v>420</v>
      </c>
      <c r="I112" t="s">
        <v>157</v>
      </c>
      <c r="J112">
        <v>1</v>
      </c>
      <c r="K112" t="s">
        <v>555</v>
      </c>
      <c r="L112">
        <v>47.78</v>
      </c>
      <c r="M112">
        <v>100</v>
      </c>
    </row>
    <row r="113" spans="1:13">
      <c r="A113">
        <v>112</v>
      </c>
      <c r="B113" t="s">
        <v>0</v>
      </c>
      <c r="C113" t="s">
        <v>13</v>
      </c>
      <c r="D113" t="s">
        <v>14</v>
      </c>
      <c r="E113" t="s">
        <v>15</v>
      </c>
      <c r="F113" t="s">
        <v>158</v>
      </c>
      <c r="G113" t="s">
        <v>294</v>
      </c>
      <c r="H113" t="s">
        <v>18</v>
      </c>
      <c r="I113" t="s">
        <v>159</v>
      </c>
      <c r="J113">
        <v>1</v>
      </c>
      <c r="K113" t="s">
        <v>556</v>
      </c>
      <c r="L113">
        <v>47.78</v>
      </c>
      <c r="M113">
        <v>100</v>
      </c>
    </row>
    <row r="114" spans="1:13">
      <c r="A114">
        <v>113</v>
      </c>
      <c r="B114" t="s">
        <v>0</v>
      </c>
      <c r="C114" t="s">
        <v>13</v>
      </c>
      <c r="D114" t="s">
        <v>34</v>
      </c>
      <c r="E114" t="s">
        <v>71</v>
      </c>
      <c r="F114" t="s">
        <v>160</v>
      </c>
      <c r="G114" t="s">
        <v>472</v>
      </c>
      <c r="H114" t="s">
        <v>73</v>
      </c>
      <c r="I114" t="s">
        <v>275</v>
      </c>
      <c r="J114">
        <v>1</v>
      </c>
      <c r="K114" t="s">
        <v>557</v>
      </c>
      <c r="L114">
        <v>47.78</v>
      </c>
      <c r="M114">
        <v>100</v>
      </c>
    </row>
    <row r="115" spans="1:13">
      <c r="A115">
        <v>114</v>
      </c>
      <c r="B115" t="s">
        <v>0</v>
      </c>
      <c r="C115" t="s">
        <v>13</v>
      </c>
      <c r="D115" t="s">
        <v>29</v>
      </c>
      <c r="E115" t="s">
        <v>46</v>
      </c>
      <c r="F115" t="s">
        <v>161</v>
      </c>
      <c r="G115" t="s">
        <v>425</v>
      </c>
      <c r="H115" t="s">
        <v>438</v>
      </c>
      <c r="I115" t="s">
        <v>275</v>
      </c>
      <c r="J115">
        <v>1</v>
      </c>
      <c r="K115" t="s">
        <v>558</v>
      </c>
      <c r="L115">
        <v>47.78</v>
      </c>
      <c r="M115">
        <v>100</v>
      </c>
    </row>
    <row r="116" spans="1:13">
      <c r="A116">
        <v>115</v>
      </c>
      <c r="B116" t="s">
        <v>0</v>
      </c>
      <c r="C116" t="s">
        <v>13</v>
      </c>
      <c r="D116" t="s">
        <v>29</v>
      </c>
      <c r="E116" t="s">
        <v>46</v>
      </c>
      <c r="F116" t="s">
        <v>162</v>
      </c>
      <c r="G116" t="s">
        <v>286</v>
      </c>
      <c r="H116" t="s">
        <v>438</v>
      </c>
      <c r="I116" t="s">
        <v>275</v>
      </c>
      <c r="J116">
        <v>1</v>
      </c>
      <c r="K116" t="s">
        <v>559</v>
      </c>
      <c r="L116">
        <v>47.78</v>
      </c>
      <c r="M116">
        <v>100</v>
      </c>
    </row>
    <row r="117" spans="1:13">
      <c r="A117">
        <v>116</v>
      </c>
      <c r="B117" t="s">
        <v>0</v>
      </c>
      <c r="C117" t="s">
        <v>13</v>
      </c>
      <c r="D117" t="s">
        <v>24</v>
      </c>
      <c r="E117" t="s">
        <v>25</v>
      </c>
      <c r="F117" t="s">
        <v>163</v>
      </c>
      <c r="G117" t="s">
        <v>560</v>
      </c>
      <c r="H117" t="s">
        <v>416</v>
      </c>
      <c r="I117" t="s">
        <v>275</v>
      </c>
      <c r="J117">
        <v>1</v>
      </c>
      <c r="K117" t="s">
        <v>561</v>
      </c>
      <c r="L117">
        <v>47.78</v>
      </c>
      <c r="M117">
        <v>100</v>
      </c>
    </row>
    <row r="118" spans="1:13">
      <c r="A118">
        <v>117</v>
      </c>
      <c r="B118" t="s">
        <v>0</v>
      </c>
      <c r="C118" t="s">
        <v>13</v>
      </c>
      <c r="D118" t="s">
        <v>34</v>
      </c>
      <c r="E118" t="s">
        <v>71</v>
      </c>
      <c r="F118" t="s">
        <v>164</v>
      </c>
      <c r="G118" t="s">
        <v>293</v>
      </c>
      <c r="H118" t="s">
        <v>73</v>
      </c>
      <c r="I118" t="s">
        <v>275</v>
      </c>
      <c r="J118">
        <v>1</v>
      </c>
      <c r="K118" t="s">
        <v>421</v>
      </c>
      <c r="L118">
        <v>47.78</v>
      </c>
      <c r="M118">
        <v>100</v>
      </c>
    </row>
    <row r="119" spans="1:13">
      <c r="A119">
        <v>118</v>
      </c>
      <c r="B119" t="s">
        <v>0</v>
      </c>
      <c r="C119" t="s">
        <v>13</v>
      </c>
      <c r="D119" t="s">
        <v>29</v>
      </c>
      <c r="E119" t="s">
        <v>46</v>
      </c>
      <c r="F119" t="s">
        <v>165</v>
      </c>
      <c r="G119" t="s">
        <v>295</v>
      </c>
      <c r="H119" t="s">
        <v>438</v>
      </c>
      <c r="I119" t="s">
        <v>275</v>
      </c>
      <c r="J119">
        <v>1</v>
      </c>
      <c r="K119" t="s">
        <v>562</v>
      </c>
      <c r="L119">
        <v>47.78</v>
      </c>
      <c r="M119">
        <v>100</v>
      </c>
    </row>
    <row r="120" spans="1:13">
      <c r="A120">
        <v>119</v>
      </c>
      <c r="B120" t="s">
        <v>0</v>
      </c>
      <c r="C120" t="s">
        <v>13</v>
      </c>
      <c r="D120" t="s">
        <v>14</v>
      </c>
      <c r="E120" t="s">
        <v>15</v>
      </c>
      <c r="F120" t="s">
        <v>166</v>
      </c>
      <c r="G120" t="s">
        <v>278</v>
      </c>
      <c r="H120" t="s">
        <v>18</v>
      </c>
      <c r="I120" t="s">
        <v>275</v>
      </c>
      <c r="J120">
        <v>1</v>
      </c>
      <c r="K120" t="s">
        <v>563</v>
      </c>
      <c r="L120">
        <v>47.78</v>
      </c>
      <c r="M120">
        <v>100</v>
      </c>
    </row>
    <row r="121" spans="1:13">
      <c r="A121">
        <v>120</v>
      </c>
      <c r="B121" t="s">
        <v>0</v>
      </c>
      <c r="C121" t="s">
        <v>13</v>
      </c>
      <c r="D121" t="s">
        <v>27</v>
      </c>
      <c r="E121" t="s">
        <v>50</v>
      </c>
      <c r="F121" t="s">
        <v>167</v>
      </c>
      <c r="G121" t="s">
        <v>441</v>
      </c>
      <c r="H121" t="s">
        <v>52</v>
      </c>
      <c r="I121" t="s">
        <v>275</v>
      </c>
      <c r="J121">
        <v>1</v>
      </c>
      <c r="K121" t="s">
        <v>555</v>
      </c>
      <c r="L121">
        <v>47.78</v>
      </c>
      <c r="M121">
        <v>100</v>
      </c>
    </row>
    <row r="122" spans="1:13">
      <c r="A122">
        <v>121</v>
      </c>
      <c r="B122" t="s">
        <v>0</v>
      </c>
      <c r="C122" t="s">
        <v>13</v>
      </c>
      <c r="D122" t="s">
        <v>27</v>
      </c>
      <c r="E122" t="s">
        <v>50</v>
      </c>
      <c r="F122" t="s">
        <v>168</v>
      </c>
      <c r="G122" t="s">
        <v>452</v>
      </c>
      <c r="H122" t="s">
        <v>52</v>
      </c>
      <c r="I122" t="s">
        <v>275</v>
      </c>
      <c r="J122">
        <v>1</v>
      </c>
      <c r="K122" t="s">
        <v>564</v>
      </c>
      <c r="L122">
        <v>47.78</v>
      </c>
      <c r="M122">
        <v>100</v>
      </c>
    </row>
    <row r="123" spans="1:13">
      <c r="A123">
        <v>122</v>
      </c>
      <c r="B123" t="s">
        <v>0</v>
      </c>
      <c r="C123" t="s">
        <v>13</v>
      </c>
      <c r="D123" t="s">
        <v>29</v>
      </c>
      <c r="E123" t="s">
        <v>46</v>
      </c>
      <c r="F123" t="s">
        <v>169</v>
      </c>
      <c r="G123" t="s">
        <v>433</v>
      </c>
      <c r="H123" t="s">
        <v>438</v>
      </c>
      <c r="I123" t="s">
        <v>275</v>
      </c>
      <c r="J123">
        <v>1</v>
      </c>
      <c r="K123" t="s">
        <v>565</v>
      </c>
      <c r="L123">
        <v>47.78</v>
      </c>
      <c r="M123">
        <v>100</v>
      </c>
    </row>
    <row r="124" spans="1:13">
      <c r="A124">
        <v>123</v>
      </c>
      <c r="B124" t="s">
        <v>1</v>
      </c>
      <c r="C124" t="s">
        <v>13</v>
      </c>
      <c r="D124" t="s">
        <v>27</v>
      </c>
      <c r="E124" t="s">
        <v>82</v>
      </c>
      <c r="F124" t="s">
        <v>170</v>
      </c>
      <c r="G124" t="s">
        <v>566</v>
      </c>
      <c r="H124" t="s">
        <v>84</v>
      </c>
      <c r="I124" t="s">
        <v>275</v>
      </c>
      <c r="J124">
        <v>1</v>
      </c>
      <c r="K124" t="s">
        <v>567</v>
      </c>
      <c r="L124">
        <v>47.78</v>
      </c>
      <c r="M124">
        <v>100</v>
      </c>
    </row>
    <row r="125" spans="1:13">
      <c r="A125">
        <v>124</v>
      </c>
      <c r="B125" t="s">
        <v>0</v>
      </c>
      <c r="C125" t="s">
        <v>13</v>
      </c>
      <c r="D125" t="s">
        <v>27</v>
      </c>
      <c r="E125" t="s">
        <v>50</v>
      </c>
      <c r="F125" t="s">
        <v>171</v>
      </c>
      <c r="G125" t="s">
        <v>291</v>
      </c>
      <c r="H125" t="s">
        <v>52</v>
      </c>
      <c r="I125" t="s">
        <v>275</v>
      </c>
      <c r="J125">
        <v>1</v>
      </c>
      <c r="K125" t="s">
        <v>568</v>
      </c>
      <c r="L125">
        <v>47.78</v>
      </c>
      <c r="M125">
        <v>100</v>
      </c>
    </row>
    <row r="126" spans="1:13">
      <c r="A126">
        <v>125</v>
      </c>
      <c r="B126" t="s">
        <v>1</v>
      </c>
      <c r="C126" t="s">
        <v>13</v>
      </c>
      <c r="D126" t="s">
        <v>24</v>
      </c>
      <c r="E126" t="s">
        <v>42</v>
      </c>
      <c r="F126" t="s">
        <v>172</v>
      </c>
      <c r="G126" t="s">
        <v>444</v>
      </c>
      <c r="H126" t="s">
        <v>44</v>
      </c>
      <c r="I126" t="s">
        <v>173</v>
      </c>
      <c r="J126">
        <v>1</v>
      </c>
      <c r="K126" t="s">
        <v>569</v>
      </c>
      <c r="L126">
        <v>47.78</v>
      </c>
      <c r="M126">
        <v>100</v>
      </c>
    </row>
    <row r="127" spans="1:13">
      <c r="A127">
        <v>126</v>
      </c>
      <c r="B127" t="s">
        <v>0</v>
      </c>
      <c r="C127" t="s">
        <v>13</v>
      </c>
      <c r="D127" t="s">
        <v>34</v>
      </c>
      <c r="E127" t="s">
        <v>71</v>
      </c>
      <c r="F127" t="s">
        <v>174</v>
      </c>
      <c r="G127" t="s">
        <v>439</v>
      </c>
      <c r="H127" t="s">
        <v>73</v>
      </c>
      <c r="I127" t="s">
        <v>175</v>
      </c>
      <c r="J127">
        <v>1</v>
      </c>
      <c r="K127" t="s">
        <v>570</v>
      </c>
      <c r="L127">
        <v>47.78</v>
      </c>
      <c r="M127">
        <v>100</v>
      </c>
    </row>
    <row r="128" spans="1:13">
      <c r="A128">
        <v>127</v>
      </c>
      <c r="B128" t="s">
        <v>0</v>
      </c>
      <c r="C128" t="s">
        <v>13</v>
      </c>
      <c r="D128" t="s">
        <v>24</v>
      </c>
      <c r="E128" t="s">
        <v>25</v>
      </c>
      <c r="F128" t="s">
        <v>176</v>
      </c>
      <c r="G128" t="s">
        <v>291</v>
      </c>
      <c r="H128" t="s">
        <v>416</v>
      </c>
      <c r="I128" t="s">
        <v>173</v>
      </c>
      <c r="J128">
        <v>1</v>
      </c>
      <c r="K128" t="s">
        <v>519</v>
      </c>
      <c r="L128">
        <v>47.78</v>
      </c>
      <c r="M128">
        <v>100</v>
      </c>
    </row>
    <row r="129" spans="1:13">
      <c r="A129">
        <v>128</v>
      </c>
      <c r="B129" t="s">
        <v>0</v>
      </c>
      <c r="C129" t="s">
        <v>13</v>
      </c>
      <c r="D129" t="s">
        <v>24</v>
      </c>
      <c r="E129" t="s">
        <v>25</v>
      </c>
      <c r="F129" t="s">
        <v>177</v>
      </c>
      <c r="G129" t="s">
        <v>452</v>
      </c>
      <c r="H129" t="s">
        <v>416</v>
      </c>
      <c r="I129" t="s">
        <v>178</v>
      </c>
      <c r="J129">
        <v>1</v>
      </c>
      <c r="K129">
        <v>2040</v>
      </c>
      <c r="L129">
        <v>47.78</v>
      </c>
      <c r="M129">
        <v>100</v>
      </c>
    </row>
    <row r="130" spans="1:13">
      <c r="A130">
        <v>129</v>
      </c>
      <c r="B130" t="s">
        <v>0</v>
      </c>
      <c r="C130" t="s">
        <v>13</v>
      </c>
      <c r="D130" t="s">
        <v>34</v>
      </c>
      <c r="E130" t="s">
        <v>71</v>
      </c>
      <c r="F130" t="s">
        <v>179</v>
      </c>
      <c r="G130" t="s">
        <v>571</v>
      </c>
      <c r="H130" t="s">
        <v>73</v>
      </c>
      <c r="I130" t="s">
        <v>173</v>
      </c>
      <c r="J130">
        <v>1</v>
      </c>
      <c r="K130" t="s">
        <v>572</v>
      </c>
      <c r="L130">
        <v>47.78</v>
      </c>
      <c r="M130">
        <v>100</v>
      </c>
    </row>
    <row r="131" spans="1:13">
      <c r="A131">
        <v>130</v>
      </c>
      <c r="B131" t="s">
        <v>0</v>
      </c>
      <c r="C131" t="s">
        <v>13</v>
      </c>
      <c r="D131" t="s">
        <v>24</v>
      </c>
      <c r="E131" t="s">
        <v>25</v>
      </c>
      <c r="F131" t="s">
        <v>180</v>
      </c>
      <c r="G131" t="s">
        <v>284</v>
      </c>
      <c r="H131" t="s">
        <v>416</v>
      </c>
      <c r="I131" t="s">
        <v>275</v>
      </c>
      <c r="J131">
        <v>1</v>
      </c>
      <c r="K131" t="s">
        <v>573</v>
      </c>
      <c r="L131">
        <v>47.78</v>
      </c>
      <c r="M131">
        <v>100</v>
      </c>
    </row>
    <row r="132" spans="1:13">
      <c r="A132">
        <v>131</v>
      </c>
      <c r="B132" t="s">
        <v>0</v>
      </c>
      <c r="C132" t="s">
        <v>13</v>
      </c>
      <c r="D132" t="s">
        <v>24</v>
      </c>
      <c r="E132" t="s">
        <v>25</v>
      </c>
      <c r="F132" t="s">
        <v>181</v>
      </c>
      <c r="G132" t="s">
        <v>294</v>
      </c>
      <c r="H132" t="s">
        <v>416</v>
      </c>
      <c r="I132" t="s">
        <v>275</v>
      </c>
      <c r="J132">
        <v>1</v>
      </c>
      <c r="K132" t="s">
        <v>423</v>
      </c>
      <c r="L132">
        <v>47.78</v>
      </c>
      <c r="M132">
        <v>100</v>
      </c>
    </row>
    <row r="133" spans="1:13">
      <c r="A133">
        <v>132</v>
      </c>
      <c r="B133" t="s">
        <v>0</v>
      </c>
      <c r="C133" t="s">
        <v>13</v>
      </c>
      <c r="D133" t="s">
        <v>24</v>
      </c>
      <c r="E133" t="s">
        <v>25</v>
      </c>
      <c r="F133" t="s">
        <v>182</v>
      </c>
      <c r="G133" t="s">
        <v>284</v>
      </c>
      <c r="H133" t="s">
        <v>416</v>
      </c>
      <c r="I133" t="s">
        <v>275</v>
      </c>
      <c r="J133">
        <v>1</v>
      </c>
      <c r="K133" t="s">
        <v>574</v>
      </c>
      <c r="L133">
        <v>47.78</v>
      </c>
      <c r="M133">
        <v>100</v>
      </c>
    </row>
    <row r="134" spans="1:13">
      <c r="A134">
        <v>133</v>
      </c>
      <c r="B134" t="s">
        <v>0</v>
      </c>
      <c r="C134" t="s">
        <v>13</v>
      </c>
      <c r="D134" t="s">
        <v>14</v>
      </c>
      <c r="E134" t="s">
        <v>15</v>
      </c>
      <c r="F134" t="s">
        <v>183</v>
      </c>
      <c r="G134" t="s">
        <v>499</v>
      </c>
      <c r="H134" t="s">
        <v>18</v>
      </c>
      <c r="I134" t="s">
        <v>275</v>
      </c>
      <c r="J134">
        <v>1</v>
      </c>
      <c r="K134" t="s">
        <v>575</v>
      </c>
      <c r="L134">
        <v>47.78</v>
      </c>
      <c r="M134">
        <v>100</v>
      </c>
    </row>
    <row r="135" spans="1:13">
      <c r="A135">
        <v>134</v>
      </c>
      <c r="B135" t="s">
        <v>0</v>
      </c>
      <c r="C135" t="s">
        <v>13</v>
      </c>
      <c r="D135" t="s">
        <v>14</v>
      </c>
      <c r="E135" t="s">
        <v>15</v>
      </c>
      <c r="F135" t="s">
        <v>184</v>
      </c>
      <c r="G135" t="s">
        <v>76</v>
      </c>
      <c r="H135" t="s">
        <v>18</v>
      </c>
      <c r="I135" t="s">
        <v>275</v>
      </c>
      <c r="J135">
        <v>1</v>
      </c>
      <c r="K135" t="s">
        <v>549</v>
      </c>
      <c r="L135">
        <v>47.78</v>
      </c>
      <c r="M135">
        <v>100</v>
      </c>
    </row>
    <row r="136" spans="1:13">
      <c r="A136">
        <v>135</v>
      </c>
      <c r="B136" t="s">
        <v>0</v>
      </c>
      <c r="C136" t="s">
        <v>13</v>
      </c>
      <c r="D136" t="s">
        <v>27</v>
      </c>
      <c r="E136" t="s">
        <v>50</v>
      </c>
      <c r="F136" t="s">
        <v>185</v>
      </c>
      <c r="G136" t="s">
        <v>469</v>
      </c>
      <c r="H136" t="s">
        <v>52</v>
      </c>
      <c r="I136" t="s">
        <v>275</v>
      </c>
      <c r="J136">
        <v>1</v>
      </c>
      <c r="K136" t="s">
        <v>576</v>
      </c>
      <c r="L136">
        <v>47.78</v>
      </c>
      <c r="M136">
        <v>100</v>
      </c>
    </row>
    <row r="137" spans="1:13">
      <c r="A137">
        <v>136</v>
      </c>
      <c r="B137" t="s">
        <v>0</v>
      </c>
      <c r="C137" t="s">
        <v>13</v>
      </c>
      <c r="D137" t="s">
        <v>27</v>
      </c>
      <c r="E137" t="s">
        <v>50</v>
      </c>
      <c r="F137" t="s">
        <v>186</v>
      </c>
      <c r="G137" t="s">
        <v>539</v>
      </c>
      <c r="H137" t="s">
        <v>52</v>
      </c>
      <c r="I137" t="s">
        <v>275</v>
      </c>
      <c r="J137">
        <v>1</v>
      </c>
      <c r="K137">
        <v>2830</v>
      </c>
      <c r="L137">
        <v>47.78</v>
      </c>
      <c r="M137">
        <v>100</v>
      </c>
    </row>
    <row r="138" spans="1:13">
      <c r="A138">
        <v>137</v>
      </c>
      <c r="B138" t="s">
        <v>0</v>
      </c>
      <c r="C138" t="s">
        <v>13</v>
      </c>
      <c r="D138" t="s">
        <v>27</v>
      </c>
      <c r="E138" t="s">
        <v>50</v>
      </c>
      <c r="F138" t="s">
        <v>187</v>
      </c>
      <c r="G138" t="s">
        <v>277</v>
      </c>
      <c r="H138" t="s">
        <v>52</v>
      </c>
      <c r="I138" t="s">
        <v>275</v>
      </c>
      <c r="J138">
        <v>1</v>
      </c>
      <c r="K138" t="s">
        <v>577</v>
      </c>
      <c r="L138">
        <v>47.78</v>
      </c>
      <c r="M138">
        <v>100</v>
      </c>
    </row>
    <row r="139" spans="1:13">
      <c r="A139">
        <v>138</v>
      </c>
      <c r="B139" t="s">
        <v>0</v>
      </c>
      <c r="C139" t="s">
        <v>13</v>
      </c>
      <c r="D139" t="s">
        <v>27</v>
      </c>
      <c r="E139" t="s">
        <v>418</v>
      </c>
      <c r="F139" t="s">
        <v>188</v>
      </c>
      <c r="G139" t="s">
        <v>282</v>
      </c>
      <c r="H139" t="s">
        <v>420</v>
      </c>
      <c r="I139" t="s">
        <v>275</v>
      </c>
      <c r="J139">
        <v>1</v>
      </c>
      <c r="K139" t="s">
        <v>578</v>
      </c>
      <c r="L139">
        <v>47.78</v>
      </c>
      <c r="M139">
        <v>100</v>
      </c>
    </row>
    <row r="140" spans="1:13">
      <c r="A140">
        <v>139</v>
      </c>
      <c r="B140" t="s">
        <v>0</v>
      </c>
      <c r="C140" t="s">
        <v>13</v>
      </c>
      <c r="D140" t="s">
        <v>24</v>
      </c>
      <c r="E140" t="s">
        <v>25</v>
      </c>
      <c r="F140" t="s">
        <v>189</v>
      </c>
      <c r="G140" t="s">
        <v>295</v>
      </c>
      <c r="H140" t="s">
        <v>416</v>
      </c>
      <c r="I140" t="s">
        <v>275</v>
      </c>
      <c r="J140">
        <v>1</v>
      </c>
      <c r="K140" t="s">
        <v>579</v>
      </c>
      <c r="L140">
        <v>47.78</v>
      </c>
      <c r="M140">
        <v>100</v>
      </c>
    </row>
    <row r="141" spans="1:13">
      <c r="A141">
        <v>140</v>
      </c>
      <c r="B141" t="s">
        <v>0</v>
      </c>
      <c r="C141" t="s">
        <v>13</v>
      </c>
      <c r="D141" t="s">
        <v>14</v>
      </c>
      <c r="E141" t="s">
        <v>19</v>
      </c>
      <c r="F141" t="s">
        <v>190</v>
      </c>
      <c r="G141" t="s">
        <v>566</v>
      </c>
      <c r="H141" t="s">
        <v>21</v>
      </c>
      <c r="I141" t="s">
        <v>275</v>
      </c>
      <c r="J141">
        <v>1</v>
      </c>
      <c r="K141" t="s">
        <v>580</v>
      </c>
      <c r="L141">
        <v>47.78</v>
      </c>
      <c r="M141">
        <v>100</v>
      </c>
    </row>
    <row r="142" spans="1:13">
      <c r="A142">
        <v>141</v>
      </c>
      <c r="B142" t="s">
        <v>0</v>
      </c>
      <c r="C142" t="s">
        <v>13</v>
      </c>
      <c r="D142" t="s">
        <v>34</v>
      </c>
      <c r="E142" t="s">
        <v>71</v>
      </c>
      <c r="F142" t="s">
        <v>191</v>
      </c>
      <c r="G142" t="s">
        <v>461</v>
      </c>
      <c r="H142" t="s">
        <v>73</v>
      </c>
      <c r="I142" t="s">
        <v>275</v>
      </c>
      <c r="J142">
        <v>1</v>
      </c>
      <c r="K142" t="s">
        <v>578</v>
      </c>
      <c r="L142">
        <v>47.78</v>
      </c>
      <c r="M142">
        <v>100</v>
      </c>
    </row>
    <row r="143" spans="1:13">
      <c r="A143">
        <v>142</v>
      </c>
      <c r="B143" t="s">
        <v>0</v>
      </c>
      <c r="C143" t="s">
        <v>13</v>
      </c>
      <c r="D143" t="s">
        <v>24</v>
      </c>
      <c r="E143" t="s">
        <v>42</v>
      </c>
      <c r="F143" t="s">
        <v>192</v>
      </c>
      <c r="G143" t="s">
        <v>510</v>
      </c>
      <c r="H143" t="s">
        <v>44</v>
      </c>
      <c r="I143" t="s">
        <v>275</v>
      </c>
      <c r="J143">
        <v>1</v>
      </c>
      <c r="K143" t="s">
        <v>581</v>
      </c>
      <c r="L143">
        <v>47.78</v>
      </c>
      <c r="M143">
        <v>100</v>
      </c>
    </row>
    <row r="144" spans="1:13">
      <c r="A144">
        <v>143</v>
      </c>
      <c r="B144" t="s">
        <v>0</v>
      </c>
      <c r="C144" t="s">
        <v>13</v>
      </c>
      <c r="D144" t="s">
        <v>27</v>
      </c>
      <c r="E144" t="s">
        <v>418</v>
      </c>
      <c r="F144" t="s">
        <v>193</v>
      </c>
      <c r="G144" t="s">
        <v>474</v>
      </c>
      <c r="H144" t="s">
        <v>420</v>
      </c>
      <c r="I144" t="s">
        <v>275</v>
      </c>
      <c r="J144">
        <v>1</v>
      </c>
      <c r="K144" t="s">
        <v>582</v>
      </c>
      <c r="L144">
        <v>47.78</v>
      </c>
      <c r="M144">
        <v>100</v>
      </c>
    </row>
    <row r="145" spans="1:13">
      <c r="A145">
        <v>144</v>
      </c>
      <c r="B145" t="s">
        <v>0</v>
      </c>
      <c r="C145" t="s">
        <v>13</v>
      </c>
      <c r="D145" t="s">
        <v>14</v>
      </c>
      <c r="E145" t="s">
        <v>15</v>
      </c>
      <c r="F145" t="s">
        <v>194</v>
      </c>
      <c r="G145" t="s">
        <v>439</v>
      </c>
      <c r="H145" t="s">
        <v>18</v>
      </c>
      <c r="I145" t="s">
        <v>275</v>
      </c>
      <c r="J145">
        <v>1</v>
      </c>
      <c r="K145" t="s">
        <v>583</v>
      </c>
      <c r="L145">
        <v>47.78</v>
      </c>
      <c r="M145">
        <v>100</v>
      </c>
    </row>
    <row r="146" spans="1:13">
      <c r="A146">
        <v>145</v>
      </c>
      <c r="B146" t="s">
        <v>0</v>
      </c>
      <c r="C146" t="s">
        <v>13</v>
      </c>
      <c r="D146" t="s">
        <v>34</v>
      </c>
      <c r="E146" t="s">
        <v>71</v>
      </c>
      <c r="F146" t="s">
        <v>195</v>
      </c>
      <c r="G146" t="s">
        <v>584</v>
      </c>
      <c r="H146" t="s">
        <v>73</v>
      </c>
      <c r="I146" t="s">
        <v>275</v>
      </c>
      <c r="J146">
        <v>1</v>
      </c>
      <c r="K146" t="s">
        <v>585</v>
      </c>
      <c r="L146">
        <v>47.78</v>
      </c>
      <c r="M146">
        <v>100</v>
      </c>
    </row>
    <row r="147" spans="1:13">
      <c r="A147">
        <v>146</v>
      </c>
      <c r="B147" t="s">
        <v>0</v>
      </c>
      <c r="C147" t="s">
        <v>13</v>
      </c>
      <c r="D147" t="s">
        <v>14</v>
      </c>
      <c r="E147" t="s">
        <v>15</v>
      </c>
      <c r="F147" t="s">
        <v>196</v>
      </c>
      <c r="G147" t="s">
        <v>281</v>
      </c>
      <c r="H147" t="s">
        <v>18</v>
      </c>
      <c r="I147" t="s">
        <v>275</v>
      </c>
      <c r="J147">
        <v>1</v>
      </c>
      <c r="K147" t="s">
        <v>586</v>
      </c>
      <c r="L147">
        <v>47.78</v>
      </c>
      <c r="M147">
        <v>100</v>
      </c>
    </row>
    <row r="148" spans="1:13">
      <c r="A148">
        <v>147</v>
      </c>
      <c r="B148" t="s">
        <v>0</v>
      </c>
      <c r="C148" t="s">
        <v>13</v>
      </c>
      <c r="D148" t="s">
        <v>29</v>
      </c>
      <c r="E148" t="s">
        <v>30</v>
      </c>
      <c r="F148" t="s">
        <v>197</v>
      </c>
      <c r="G148" t="s">
        <v>285</v>
      </c>
      <c r="H148" t="s">
        <v>32</v>
      </c>
      <c r="I148" t="s">
        <v>275</v>
      </c>
      <c r="J148">
        <v>1</v>
      </c>
      <c r="K148" t="s">
        <v>587</v>
      </c>
      <c r="L148">
        <v>47.78</v>
      </c>
      <c r="M148">
        <v>100</v>
      </c>
    </row>
    <row r="149" spans="1:13">
      <c r="A149">
        <v>148</v>
      </c>
      <c r="B149" t="s">
        <v>0</v>
      </c>
      <c r="C149" t="s">
        <v>13</v>
      </c>
      <c r="D149" t="s">
        <v>34</v>
      </c>
      <c r="E149" t="s">
        <v>71</v>
      </c>
      <c r="F149" t="s">
        <v>198</v>
      </c>
      <c r="G149" t="s">
        <v>48</v>
      </c>
      <c r="H149" t="s">
        <v>73</v>
      </c>
      <c r="I149" t="s">
        <v>275</v>
      </c>
      <c r="J149">
        <v>1</v>
      </c>
      <c r="K149" t="s">
        <v>588</v>
      </c>
      <c r="L149">
        <v>47.78</v>
      </c>
      <c r="M149">
        <v>100</v>
      </c>
    </row>
    <row r="150" spans="1:13">
      <c r="A150">
        <v>149</v>
      </c>
      <c r="B150" t="s">
        <v>0</v>
      </c>
      <c r="C150" t="s">
        <v>13</v>
      </c>
      <c r="D150" t="s">
        <v>34</v>
      </c>
      <c r="E150" t="s">
        <v>71</v>
      </c>
      <c r="F150" t="s">
        <v>199</v>
      </c>
      <c r="G150" t="s">
        <v>560</v>
      </c>
      <c r="H150" t="s">
        <v>73</v>
      </c>
      <c r="I150" t="s">
        <v>275</v>
      </c>
      <c r="J150">
        <v>1</v>
      </c>
      <c r="K150" t="s">
        <v>589</v>
      </c>
      <c r="L150">
        <v>47.78</v>
      </c>
      <c r="M150">
        <v>100</v>
      </c>
    </row>
    <row r="151" spans="1:13">
      <c r="A151">
        <v>150</v>
      </c>
      <c r="B151" t="s">
        <v>0</v>
      </c>
      <c r="C151" t="s">
        <v>13</v>
      </c>
      <c r="D151" t="s">
        <v>14</v>
      </c>
      <c r="E151" t="s">
        <v>15</v>
      </c>
      <c r="F151" t="s">
        <v>200</v>
      </c>
      <c r="G151" t="s">
        <v>276</v>
      </c>
      <c r="H151" t="s">
        <v>18</v>
      </c>
      <c r="I151" t="s">
        <v>275</v>
      </c>
      <c r="J151">
        <v>1</v>
      </c>
      <c r="K151" t="s">
        <v>590</v>
      </c>
      <c r="L151">
        <v>47.78</v>
      </c>
      <c r="M151">
        <v>100</v>
      </c>
    </row>
    <row r="152" spans="1:13">
      <c r="A152">
        <v>151</v>
      </c>
      <c r="B152" t="s">
        <v>0</v>
      </c>
      <c r="C152" t="s">
        <v>13</v>
      </c>
      <c r="D152" t="s">
        <v>27</v>
      </c>
      <c r="E152" t="s">
        <v>418</v>
      </c>
      <c r="F152" t="s">
        <v>201</v>
      </c>
      <c r="G152" t="s">
        <v>457</v>
      </c>
      <c r="H152" t="s">
        <v>420</v>
      </c>
      <c r="I152" t="s">
        <v>275</v>
      </c>
      <c r="J152">
        <v>1</v>
      </c>
      <c r="K152" t="s">
        <v>591</v>
      </c>
      <c r="L152">
        <v>47.78</v>
      </c>
      <c r="M152">
        <v>100</v>
      </c>
    </row>
    <row r="153" spans="1:13">
      <c r="A153">
        <v>152</v>
      </c>
      <c r="B153" t="s">
        <v>0</v>
      </c>
      <c r="C153" t="s">
        <v>13</v>
      </c>
      <c r="D153" t="s">
        <v>29</v>
      </c>
      <c r="E153" t="s">
        <v>46</v>
      </c>
      <c r="F153" t="s">
        <v>202</v>
      </c>
      <c r="G153" t="s">
        <v>280</v>
      </c>
      <c r="H153" t="s">
        <v>438</v>
      </c>
      <c r="I153" t="s">
        <v>275</v>
      </c>
      <c r="J153">
        <v>1</v>
      </c>
      <c r="K153" t="s">
        <v>553</v>
      </c>
      <c r="L153">
        <v>47.78</v>
      </c>
      <c r="M153">
        <v>100</v>
      </c>
    </row>
    <row r="154" spans="1:13">
      <c r="A154">
        <v>153</v>
      </c>
      <c r="B154" t="s">
        <v>0</v>
      </c>
      <c r="C154" t="s">
        <v>13</v>
      </c>
      <c r="D154" t="s">
        <v>29</v>
      </c>
      <c r="E154" t="s">
        <v>46</v>
      </c>
      <c r="F154" t="s">
        <v>203</v>
      </c>
      <c r="G154" t="s">
        <v>48</v>
      </c>
      <c r="H154" t="s">
        <v>438</v>
      </c>
      <c r="I154" t="s">
        <v>275</v>
      </c>
      <c r="J154">
        <v>1</v>
      </c>
      <c r="K154" t="s">
        <v>592</v>
      </c>
      <c r="L154">
        <v>47.78</v>
      </c>
      <c r="M154">
        <v>100</v>
      </c>
    </row>
    <row r="155" spans="1:13">
      <c r="A155">
        <v>154</v>
      </c>
      <c r="B155" t="s">
        <v>0</v>
      </c>
      <c r="C155" t="s">
        <v>13</v>
      </c>
      <c r="D155" t="s">
        <v>34</v>
      </c>
      <c r="E155" t="s">
        <v>71</v>
      </c>
      <c r="F155" t="s">
        <v>204</v>
      </c>
      <c r="G155" t="s">
        <v>431</v>
      </c>
      <c r="H155" t="s">
        <v>73</v>
      </c>
      <c r="I155" t="s">
        <v>275</v>
      </c>
      <c r="J155">
        <v>1</v>
      </c>
      <c r="K155" t="s">
        <v>593</v>
      </c>
      <c r="L155">
        <v>47.78</v>
      </c>
      <c r="M155">
        <v>100</v>
      </c>
    </row>
    <row r="156" spans="1:13">
      <c r="A156">
        <v>155</v>
      </c>
      <c r="B156" t="s">
        <v>0</v>
      </c>
      <c r="C156" t="s">
        <v>13</v>
      </c>
      <c r="D156" t="s">
        <v>34</v>
      </c>
      <c r="E156" t="s">
        <v>71</v>
      </c>
      <c r="F156" t="s">
        <v>205</v>
      </c>
      <c r="G156" t="s">
        <v>283</v>
      </c>
      <c r="H156" t="s">
        <v>73</v>
      </c>
      <c r="I156" t="s">
        <v>275</v>
      </c>
      <c r="J156">
        <v>1</v>
      </c>
      <c r="K156" t="s">
        <v>594</v>
      </c>
      <c r="L156">
        <v>47.78</v>
      </c>
      <c r="M156">
        <v>100</v>
      </c>
    </row>
    <row r="157" spans="1:13">
      <c r="A157">
        <v>156</v>
      </c>
      <c r="B157" t="s">
        <v>0</v>
      </c>
      <c r="C157" t="s">
        <v>13</v>
      </c>
      <c r="D157" t="s">
        <v>24</v>
      </c>
      <c r="E157" t="s">
        <v>42</v>
      </c>
      <c r="F157" t="s">
        <v>206</v>
      </c>
      <c r="G157" t="s">
        <v>422</v>
      </c>
      <c r="H157" t="s">
        <v>44</v>
      </c>
      <c r="I157" t="s">
        <v>275</v>
      </c>
      <c r="J157">
        <v>1</v>
      </c>
      <c r="K157" t="s">
        <v>595</v>
      </c>
      <c r="L157">
        <v>47.78</v>
      </c>
      <c r="M157">
        <v>100</v>
      </c>
    </row>
    <row r="158" spans="1:13">
      <c r="A158">
        <v>157</v>
      </c>
      <c r="B158" t="s">
        <v>0</v>
      </c>
      <c r="C158" t="s">
        <v>13</v>
      </c>
      <c r="D158" t="s">
        <v>34</v>
      </c>
      <c r="E158" t="s">
        <v>35</v>
      </c>
      <c r="F158" t="s">
        <v>207</v>
      </c>
      <c r="G158" t="s">
        <v>551</v>
      </c>
      <c r="H158" t="s">
        <v>37</v>
      </c>
      <c r="I158" t="s">
        <v>275</v>
      </c>
      <c r="J158">
        <v>1</v>
      </c>
      <c r="K158" t="s">
        <v>596</v>
      </c>
      <c r="L158">
        <v>47.78</v>
      </c>
      <c r="M158">
        <v>100</v>
      </c>
    </row>
    <row r="159" spans="1:13">
      <c r="A159">
        <v>158</v>
      </c>
      <c r="B159" t="s">
        <v>0</v>
      </c>
      <c r="C159" t="s">
        <v>13</v>
      </c>
      <c r="D159" t="s">
        <v>24</v>
      </c>
      <c r="E159" t="s">
        <v>42</v>
      </c>
      <c r="F159" t="s">
        <v>208</v>
      </c>
      <c r="G159" t="s">
        <v>541</v>
      </c>
      <c r="H159" t="s">
        <v>44</v>
      </c>
      <c r="I159" t="s">
        <v>275</v>
      </c>
      <c r="J159">
        <v>1</v>
      </c>
      <c r="K159" t="s">
        <v>597</v>
      </c>
      <c r="L159">
        <v>47.78</v>
      </c>
      <c r="M159">
        <v>100</v>
      </c>
    </row>
    <row r="160" spans="1:13">
      <c r="A160">
        <v>159</v>
      </c>
      <c r="B160" t="s">
        <v>0</v>
      </c>
      <c r="C160" t="s">
        <v>13</v>
      </c>
      <c r="D160" t="s">
        <v>24</v>
      </c>
      <c r="E160" t="s">
        <v>25</v>
      </c>
      <c r="F160" t="s">
        <v>209</v>
      </c>
      <c r="G160" t="s">
        <v>138</v>
      </c>
      <c r="H160" t="s">
        <v>416</v>
      </c>
      <c r="I160" t="s">
        <v>275</v>
      </c>
      <c r="J160">
        <v>1</v>
      </c>
      <c r="K160" t="s">
        <v>598</v>
      </c>
      <c r="L160">
        <v>47.78</v>
      </c>
      <c r="M160">
        <v>100</v>
      </c>
    </row>
    <row r="161" spans="1:13">
      <c r="A161">
        <v>160</v>
      </c>
      <c r="B161" t="s">
        <v>0</v>
      </c>
      <c r="C161" t="s">
        <v>13</v>
      </c>
      <c r="D161" t="s">
        <v>27</v>
      </c>
      <c r="E161" t="s">
        <v>82</v>
      </c>
      <c r="F161" t="s">
        <v>210</v>
      </c>
      <c r="G161" t="s">
        <v>138</v>
      </c>
      <c r="H161" t="s">
        <v>84</v>
      </c>
      <c r="I161" t="s">
        <v>275</v>
      </c>
      <c r="J161">
        <v>1</v>
      </c>
      <c r="K161" t="s">
        <v>599</v>
      </c>
      <c r="L161">
        <v>47.78</v>
      </c>
      <c r="M161">
        <v>100</v>
      </c>
    </row>
    <row r="162" spans="1:13">
      <c r="A162">
        <v>161</v>
      </c>
      <c r="B162" t="s">
        <v>0</v>
      </c>
      <c r="C162" t="s">
        <v>13</v>
      </c>
      <c r="D162" t="s">
        <v>29</v>
      </c>
      <c r="E162" t="s">
        <v>30</v>
      </c>
      <c r="F162" t="s">
        <v>211</v>
      </c>
      <c r="G162" t="s">
        <v>88</v>
      </c>
      <c r="H162" t="s">
        <v>32</v>
      </c>
      <c r="I162" t="s">
        <v>275</v>
      </c>
      <c r="J162">
        <v>1</v>
      </c>
      <c r="K162" t="s">
        <v>600</v>
      </c>
      <c r="L162">
        <v>47.78</v>
      </c>
      <c r="M162">
        <v>100</v>
      </c>
    </row>
    <row r="163" spans="1:13">
      <c r="A163">
        <v>162</v>
      </c>
      <c r="B163" t="s">
        <v>0</v>
      </c>
      <c r="C163" t="s">
        <v>13</v>
      </c>
      <c r="D163" t="s">
        <v>14</v>
      </c>
      <c r="E163" t="s">
        <v>15</v>
      </c>
      <c r="F163" t="s">
        <v>212</v>
      </c>
      <c r="G163" t="s">
        <v>276</v>
      </c>
      <c r="H163" t="s">
        <v>18</v>
      </c>
      <c r="I163" t="s">
        <v>275</v>
      </c>
      <c r="J163">
        <v>1</v>
      </c>
      <c r="K163" t="s">
        <v>601</v>
      </c>
      <c r="L163">
        <v>47.78</v>
      </c>
      <c r="M163">
        <v>100</v>
      </c>
    </row>
    <row r="164" spans="1:13">
      <c r="A164">
        <v>163</v>
      </c>
      <c r="B164" t="s">
        <v>0</v>
      </c>
      <c r="C164" t="s">
        <v>13</v>
      </c>
      <c r="D164" t="s">
        <v>34</v>
      </c>
      <c r="E164" t="s">
        <v>71</v>
      </c>
      <c r="F164" t="s">
        <v>213</v>
      </c>
      <c r="G164" t="s">
        <v>277</v>
      </c>
      <c r="H164" t="s">
        <v>73</v>
      </c>
      <c r="I164" t="s">
        <v>275</v>
      </c>
      <c r="J164">
        <v>1</v>
      </c>
      <c r="K164" t="s">
        <v>602</v>
      </c>
      <c r="L164">
        <v>47.78</v>
      </c>
      <c r="M164">
        <v>100</v>
      </c>
    </row>
    <row r="165" spans="1:13">
      <c r="A165">
        <v>164</v>
      </c>
      <c r="B165" t="s">
        <v>0</v>
      </c>
      <c r="C165" t="s">
        <v>13</v>
      </c>
      <c r="D165" t="s">
        <v>29</v>
      </c>
      <c r="E165" t="s">
        <v>30</v>
      </c>
      <c r="F165" t="s">
        <v>214</v>
      </c>
      <c r="G165" t="s">
        <v>278</v>
      </c>
      <c r="H165" t="s">
        <v>32</v>
      </c>
      <c r="I165" t="s">
        <v>275</v>
      </c>
      <c r="J165">
        <v>1</v>
      </c>
      <c r="K165" t="s">
        <v>445</v>
      </c>
      <c r="L165">
        <v>47.78</v>
      </c>
      <c r="M165">
        <v>100</v>
      </c>
    </row>
    <row r="166" spans="1:13">
      <c r="A166">
        <v>165</v>
      </c>
      <c r="B166" t="s">
        <v>0</v>
      </c>
      <c r="C166" t="s">
        <v>13</v>
      </c>
      <c r="D166" t="s">
        <v>24</v>
      </c>
      <c r="E166" t="s">
        <v>25</v>
      </c>
      <c r="F166" t="s">
        <v>215</v>
      </c>
      <c r="G166" t="s">
        <v>279</v>
      </c>
      <c r="H166" t="s">
        <v>416</v>
      </c>
      <c r="I166" t="s">
        <v>275</v>
      </c>
      <c r="J166">
        <v>1</v>
      </c>
      <c r="K166" t="s">
        <v>557</v>
      </c>
      <c r="L166">
        <v>47.78</v>
      </c>
      <c r="M166">
        <v>100</v>
      </c>
    </row>
    <row r="167" spans="1:13">
      <c r="A167">
        <v>166</v>
      </c>
      <c r="B167" t="s">
        <v>0</v>
      </c>
      <c r="C167" t="s">
        <v>13</v>
      </c>
      <c r="D167" t="s">
        <v>24</v>
      </c>
      <c r="E167" t="s">
        <v>25</v>
      </c>
      <c r="F167" t="s">
        <v>216</v>
      </c>
      <c r="G167" t="s">
        <v>280</v>
      </c>
      <c r="H167" t="s">
        <v>416</v>
      </c>
      <c r="I167" t="s">
        <v>275</v>
      </c>
      <c r="J167">
        <v>1</v>
      </c>
      <c r="K167" t="s">
        <v>603</v>
      </c>
      <c r="L167">
        <v>47.78</v>
      </c>
      <c r="M167">
        <v>100</v>
      </c>
    </row>
    <row r="168" spans="1:13">
      <c r="A168">
        <v>167</v>
      </c>
      <c r="B168" t="s">
        <v>0</v>
      </c>
      <c r="C168" t="s">
        <v>13</v>
      </c>
      <c r="D168" t="s">
        <v>34</v>
      </c>
      <c r="E168" t="s">
        <v>35</v>
      </c>
      <c r="F168" t="s">
        <v>217</v>
      </c>
      <c r="G168" t="s">
        <v>280</v>
      </c>
      <c r="H168" t="s">
        <v>37</v>
      </c>
      <c r="I168" t="s">
        <v>275</v>
      </c>
      <c r="J168">
        <v>1</v>
      </c>
      <c r="K168" t="s">
        <v>604</v>
      </c>
      <c r="L168">
        <v>47.78</v>
      </c>
      <c r="M168">
        <v>100</v>
      </c>
    </row>
    <row r="169" spans="1:13">
      <c r="A169">
        <v>168</v>
      </c>
      <c r="B169" t="s">
        <v>0</v>
      </c>
      <c r="C169" t="s">
        <v>13</v>
      </c>
      <c r="D169" t="s">
        <v>27</v>
      </c>
      <c r="E169" t="s">
        <v>418</v>
      </c>
      <c r="F169" t="s">
        <v>218</v>
      </c>
      <c r="G169" t="s">
        <v>281</v>
      </c>
      <c r="H169" t="s">
        <v>420</v>
      </c>
      <c r="I169" t="s">
        <v>275</v>
      </c>
      <c r="J169">
        <v>1</v>
      </c>
      <c r="K169" t="s">
        <v>605</v>
      </c>
      <c r="L169">
        <v>47.78</v>
      </c>
      <c r="M169">
        <v>100</v>
      </c>
    </row>
    <row r="170" spans="1:13">
      <c r="A170">
        <v>169</v>
      </c>
      <c r="B170" t="s">
        <v>0</v>
      </c>
      <c r="C170" t="s">
        <v>13</v>
      </c>
      <c r="D170" t="s">
        <v>27</v>
      </c>
      <c r="E170" t="s">
        <v>418</v>
      </c>
      <c r="F170" t="s">
        <v>219</v>
      </c>
      <c r="G170" t="s">
        <v>282</v>
      </c>
      <c r="H170" t="s">
        <v>420</v>
      </c>
      <c r="I170" t="s">
        <v>275</v>
      </c>
      <c r="J170">
        <v>1</v>
      </c>
      <c r="K170" t="s">
        <v>606</v>
      </c>
      <c r="L170">
        <v>47.78</v>
      </c>
      <c r="M170">
        <v>100</v>
      </c>
    </row>
    <row r="171" spans="1:13">
      <c r="A171">
        <v>170</v>
      </c>
      <c r="B171" t="s">
        <v>0</v>
      </c>
      <c r="C171" t="s">
        <v>13</v>
      </c>
      <c r="D171" t="s">
        <v>24</v>
      </c>
      <c r="E171" t="s">
        <v>42</v>
      </c>
      <c r="F171" t="s">
        <v>220</v>
      </c>
      <c r="G171" t="s">
        <v>283</v>
      </c>
      <c r="H171" t="s">
        <v>44</v>
      </c>
      <c r="I171" t="s">
        <v>275</v>
      </c>
      <c r="J171">
        <v>1</v>
      </c>
      <c r="K171" t="s">
        <v>607</v>
      </c>
      <c r="L171">
        <v>47.78</v>
      </c>
      <c r="M171">
        <v>100</v>
      </c>
    </row>
    <row r="172" spans="1:13">
      <c r="A172">
        <v>171</v>
      </c>
      <c r="B172" t="s">
        <v>0</v>
      </c>
      <c r="C172" t="s">
        <v>13</v>
      </c>
      <c r="D172" t="s">
        <v>14</v>
      </c>
      <c r="E172" t="s">
        <v>15</v>
      </c>
      <c r="F172" t="s">
        <v>221</v>
      </c>
      <c r="G172" t="s">
        <v>278</v>
      </c>
      <c r="H172" t="s">
        <v>18</v>
      </c>
      <c r="I172" t="s">
        <v>275</v>
      </c>
      <c r="J172">
        <v>1</v>
      </c>
      <c r="K172" t="s">
        <v>423</v>
      </c>
      <c r="L172">
        <v>47.78</v>
      </c>
      <c r="M172">
        <v>100</v>
      </c>
    </row>
    <row r="173" spans="1:13">
      <c r="A173">
        <v>172</v>
      </c>
      <c r="B173" t="s">
        <v>0</v>
      </c>
      <c r="C173" t="s">
        <v>13</v>
      </c>
      <c r="D173" t="s">
        <v>24</v>
      </c>
      <c r="E173" t="s">
        <v>42</v>
      </c>
      <c r="F173" t="s">
        <v>222</v>
      </c>
      <c r="G173" t="s">
        <v>48</v>
      </c>
      <c r="H173" t="s">
        <v>44</v>
      </c>
      <c r="I173" t="s">
        <v>275</v>
      </c>
      <c r="J173">
        <v>1</v>
      </c>
      <c r="K173" t="s">
        <v>608</v>
      </c>
      <c r="L173">
        <v>47.78</v>
      </c>
      <c r="M173">
        <v>100</v>
      </c>
    </row>
    <row r="174" spans="1:13">
      <c r="A174">
        <v>173</v>
      </c>
      <c r="B174" t="s">
        <v>0</v>
      </c>
      <c r="C174" t="s">
        <v>13</v>
      </c>
      <c r="D174" t="s">
        <v>24</v>
      </c>
      <c r="E174" t="s">
        <v>25</v>
      </c>
      <c r="F174" t="s">
        <v>223</v>
      </c>
      <c r="G174" t="s">
        <v>284</v>
      </c>
      <c r="H174" t="s">
        <v>416</v>
      </c>
      <c r="I174" t="s">
        <v>275</v>
      </c>
      <c r="J174">
        <v>1</v>
      </c>
      <c r="K174" t="s">
        <v>609</v>
      </c>
      <c r="L174">
        <v>47.78</v>
      </c>
      <c r="M174">
        <v>100</v>
      </c>
    </row>
    <row r="175" spans="1:13">
      <c r="A175">
        <v>174</v>
      </c>
      <c r="B175" t="s">
        <v>0</v>
      </c>
      <c r="C175" t="s">
        <v>13</v>
      </c>
      <c r="D175" t="s">
        <v>34</v>
      </c>
      <c r="E175" t="s">
        <v>35</v>
      </c>
      <c r="F175" t="s">
        <v>224</v>
      </c>
      <c r="G175" t="s">
        <v>225</v>
      </c>
      <c r="H175" t="s">
        <v>37</v>
      </c>
      <c r="I175" t="s">
        <v>275</v>
      </c>
      <c r="J175">
        <v>1</v>
      </c>
      <c r="K175" t="s">
        <v>610</v>
      </c>
      <c r="L175">
        <v>47.78</v>
      </c>
      <c r="M175">
        <v>100</v>
      </c>
    </row>
    <row r="176" spans="1:13">
      <c r="A176">
        <v>175</v>
      </c>
      <c r="B176" t="s">
        <v>0</v>
      </c>
      <c r="C176" t="s">
        <v>13</v>
      </c>
      <c r="D176" t="s">
        <v>14</v>
      </c>
      <c r="E176" t="s">
        <v>15</v>
      </c>
      <c r="F176" t="s">
        <v>226</v>
      </c>
      <c r="G176" t="s">
        <v>285</v>
      </c>
      <c r="H176" t="s">
        <v>18</v>
      </c>
      <c r="I176" t="s">
        <v>275</v>
      </c>
      <c r="J176">
        <v>1</v>
      </c>
      <c r="K176" t="s">
        <v>611</v>
      </c>
      <c r="L176">
        <v>47.78</v>
      </c>
      <c r="M176">
        <v>100</v>
      </c>
    </row>
    <row r="177" spans="1:13">
      <c r="A177">
        <v>176</v>
      </c>
      <c r="B177" t="s">
        <v>0</v>
      </c>
      <c r="C177" t="s">
        <v>13</v>
      </c>
      <c r="D177" t="s">
        <v>29</v>
      </c>
      <c r="E177" t="s">
        <v>46</v>
      </c>
      <c r="F177" t="s">
        <v>227</v>
      </c>
      <c r="G177" t="s">
        <v>110</v>
      </c>
      <c r="H177" t="s">
        <v>438</v>
      </c>
      <c r="I177" t="s">
        <v>275</v>
      </c>
      <c r="J177">
        <v>1</v>
      </c>
      <c r="K177" t="s">
        <v>612</v>
      </c>
      <c r="L177">
        <v>47.78</v>
      </c>
      <c r="M177">
        <v>100</v>
      </c>
    </row>
    <row r="178" spans="1:13">
      <c r="A178">
        <v>177</v>
      </c>
      <c r="B178" t="s">
        <v>0</v>
      </c>
      <c r="C178" t="s">
        <v>13</v>
      </c>
      <c r="D178" t="s">
        <v>27</v>
      </c>
      <c r="E178" t="s">
        <v>50</v>
      </c>
      <c r="F178" t="s">
        <v>228</v>
      </c>
      <c r="G178" t="s">
        <v>138</v>
      </c>
      <c r="H178" t="s">
        <v>52</v>
      </c>
      <c r="I178" t="s">
        <v>275</v>
      </c>
      <c r="J178">
        <v>1</v>
      </c>
      <c r="K178" t="s">
        <v>613</v>
      </c>
      <c r="L178">
        <v>47.78</v>
      </c>
      <c r="M178">
        <v>100</v>
      </c>
    </row>
    <row r="179" spans="1:13">
      <c r="A179">
        <v>178</v>
      </c>
      <c r="B179" t="s">
        <v>0</v>
      </c>
      <c r="C179" t="s">
        <v>13</v>
      </c>
      <c r="D179" t="s">
        <v>24</v>
      </c>
      <c r="E179" t="s">
        <v>42</v>
      </c>
      <c r="F179" t="s">
        <v>229</v>
      </c>
      <c r="G179" t="s">
        <v>17</v>
      </c>
      <c r="H179" t="s">
        <v>44</v>
      </c>
      <c r="I179" t="s">
        <v>275</v>
      </c>
      <c r="J179">
        <v>1</v>
      </c>
      <c r="K179" t="s">
        <v>614</v>
      </c>
      <c r="L179">
        <v>47.78</v>
      </c>
      <c r="M179">
        <v>100</v>
      </c>
    </row>
    <row r="180" spans="1:13">
      <c r="A180">
        <v>179</v>
      </c>
      <c r="B180" t="s">
        <v>0</v>
      </c>
      <c r="C180" t="s">
        <v>13</v>
      </c>
      <c r="D180" t="s">
        <v>29</v>
      </c>
      <c r="E180" t="s">
        <v>30</v>
      </c>
      <c r="F180" t="s">
        <v>230</v>
      </c>
      <c r="G180" t="s">
        <v>286</v>
      </c>
      <c r="H180" t="s">
        <v>32</v>
      </c>
      <c r="I180" t="s">
        <v>275</v>
      </c>
      <c r="J180">
        <v>1</v>
      </c>
      <c r="K180" t="s">
        <v>595</v>
      </c>
      <c r="L180">
        <v>47.78</v>
      </c>
      <c r="M180">
        <v>100</v>
      </c>
    </row>
    <row r="181" spans="1:13">
      <c r="A181">
        <v>180</v>
      </c>
      <c r="B181" t="s">
        <v>0</v>
      </c>
      <c r="C181" t="s">
        <v>13</v>
      </c>
      <c r="D181" t="s">
        <v>34</v>
      </c>
      <c r="E181" t="s">
        <v>71</v>
      </c>
      <c r="F181" t="s">
        <v>231</v>
      </c>
      <c r="G181" t="s">
        <v>232</v>
      </c>
      <c r="H181" t="s">
        <v>73</v>
      </c>
      <c r="I181" t="s">
        <v>275</v>
      </c>
      <c r="J181">
        <v>1</v>
      </c>
      <c r="K181" t="s">
        <v>575</v>
      </c>
      <c r="L181">
        <v>47.78</v>
      </c>
      <c r="M181">
        <v>100</v>
      </c>
    </row>
    <row r="182" spans="1:13">
      <c r="A182">
        <v>181</v>
      </c>
      <c r="B182" t="s">
        <v>0</v>
      </c>
      <c r="C182" t="s">
        <v>13</v>
      </c>
      <c r="D182" t="s">
        <v>27</v>
      </c>
      <c r="E182" t="s">
        <v>418</v>
      </c>
      <c r="F182" t="s">
        <v>233</v>
      </c>
      <c r="G182" t="s">
        <v>287</v>
      </c>
      <c r="H182" t="s">
        <v>420</v>
      </c>
      <c r="I182" t="s">
        <v>275</v>
      </c>
      <c r="J182">
        <v>1</v>
      </c>
      <c r="K182" t="s">
        <v>615</v>
      </c>
      <c r="L182">
        <v>47.78</v>
      </c>
      <c r="M182">
        <v>100</v>
      </c>
    </row>
    <row r="183" spans="1:13">
      <c r="A183">
        <v>182</v>
      </c>
      <c r="B183" t="s">
        <v>0</v>
      </c>
      <c r="C183" t="s">
        <v>13</v>
      </c>
      <c r="D183" t="s">
        <v>14</v>
      </c>
      <c r="E183" t="s">
        <v>19</v>
      </c>
      <c r="F183" t="s">
        <v>234</v>
      </c>
      <c r="G183" t="s">
        <v>17</v>
      </c>
      <c r="H183" t="s">
        <v>21</v>
      </c>
      <c r="I183" t="s">
        <v>275</v>
      </c>
      <c r="J183">
        <v>1</v>
      </c>
      <c r="K183">
        <v>2960</v>
      </c>
      <c r="L183">
        <v>47.78</v>
      </c>
      <c r="M183">
        <v>100</v>
      </c>
    </row>
    <row r="184" spans="1:13">
      <c r="A184">
        <v>183</v>
      </c>
      <c r="B184" t="s">
        <v>0</v>
      </c>
      <c r="C184" t="s">
        <v>13</v>
      </c>
      <c r="D184" t="s">
        <v>14</v>
      </c>
      <c r="E184" t="s">
        <v>19</v>
      </c>
      <c r="F184" t="s">
        <v>235</v>
      </c>
      <c r="G184" t="s">
        <v>288</v>
      </c>
      <c r="H184" t="s">
        <v>21</v>
      </c>
      <c r="I184" t="s">
        <v>275</v>
      </c>
      <c r="J184">
        <v>1</v>
      </c>
      <c r="K184" t="s">
        <v>616</v>
      </c>
      <c r="L184">
        <v>47.78</v>
      </c>
      <c r="M184">
        <v>100</v>
      </c>
    </row>
    <row r="185" spans="1:13">
      <c r="A185">
        <v>184</v>
      </c>
      <c r="B185" t="s">
        <v>0</v>
      </c>
      <c r="C185" t="s">
        <v>13</v>
      </c>
      <c r="D185" t="s">
        <v>14</v>
      </c>
      <c r="E185" t="s">
        <v>19</v>
      </c>
      <c r="F185" t="s">
        <v>236</v>
      </c>
      <c r="G185" t="s">
        <v>76</v>
      </c>
      <c r="H185" t="s">
        <v>21</v>
      </c>
      <c r="I185" t="s">
        <v>275</v>
      </c>
      <c r="J185">
        <v>1</v>
      </c>
      <c r="K185" t="s">
        <v>617</v>
      </c>
      <c r="L185">
        <v>47.78</v>
      </c>
      <c r="M185">
        <v>100</v>
      </c>
    </row>
    <row r="186" spans="1:13">
      <c r="A186">
        <v>185</v>
      </c>
      <c r="B186" t="s">
        <v>0</v>
      </c>
      <c r="C186" t="s">
        <v>13</v>
      </c>
      <c r="D186" t="s">
        <v>27</v>
      </c>
      <c r="E186" t="s">
        <v>82</v>
      </c>
      <c r="F186" t="s">
        <v>237</v>
      </c>
      <c r="G186" t="s">
        <v>289</v>
      </c>
      <c r="H186" t="s">
        <v>84</v>
      </c>
      <c r="I186" t="s">
        <v>275</v>
      </c>
      <c r="J186">
        <v>1</v>
      </c>
      <c r="K186" t="s">
        <v>618</v>
      </c>
      <c r="L186">
        <v>47.78</v>
      </c>
      <c r="M186">
        <v>100</v>
      </c>
    </row>
    <row r="187" spans="1:13">
      <c r="A187">
        <v>186</v>
      </c>
      <c r="B187" t="s">
        <v>0</v>
      </c>
      <c r="C187" t="s">
        <v>13</v>
      </c>
      <c r="D187" t="s">
        <v>27</v>
      </c>
      <c r="E187" t="s">
        <v>50</v>
      </c>
      <c r="F187" t="s">
        <v>238</v>
      </c>
      <c r="G187" t="s">
        <v>288</v>
      </c>
      <c r="H187" t="s">
        <v>52</v>
      </c>
      <c r="I187" t="s">
        <v>275</v>
      </c>
      <c r="J187">
        <v>1</v>
      </c>
      <c r="K187" t="s">
        <v>619</v>
      </c>
      <c r="L187">
        <v>47.78</v>
      </c>
      <c r="M187">
        <v>100</v>
      </c>
    </row>
    <row r="188" spans="1:13">
      <c r="A188">
        <v>187</v>
      </c>
      <c r="B188" t="s">
        <v>0</v>
      </c>
      <c r="C188" t="s">
        <v>13</v>
      </c>
      <c r="D188" t="s">
        <v>24</v>
      </c>
      <c r="E188" t="s">
        <v>25</v>
      </c>
      <c r="F188" t="s">
        <v>239</v>
      </c>
      <c r="G188" t="s">
        <v>290</v>
      </c>
      <c r="H188" t="s">
        <v>416</v>
      </c>
      <c r="I188" t="s">
        <v>275</v>
      </c>
      <c r="J188">
        <v>1</v>
      </c>
      <c r="K188">
        <v>1240</v>
      </c>
      <c r="L188">
        <v>47.78</v>
      </c>
      <c r="M188">
        <v>100</v>
      </c>
    </row>
    <row r="189" spans="1:13">
      <c r="A189">
        <v>188</v>
      </c>
      <c r="B189" t="s">
        <v>0</v>
      </c>
      <c r="C189" t="s">
        <v>13</v>
      </c>
      <c r="D189" t="s">
        <v>14</v>
      </c>
      <c r="E189" t="s">
        <v>19</v>
      </c>
      <c r="F189" t="s">
        <v>240</v>
      </c>
      <c r="G189" t="s">
        <v>241</v>
      </c>
      <c r="H189" t="s">
        <v>21</v>
      </c>
      <c r="I189" t="s">
        <v>275</v>
      </c>
      <c r="J189">
        <v>1</v>
      </c>
      <c r="K189" t="s">
        <v>620</v>
      </c>
      <c r="L189">
        <v>47.78</v>
      </c>
      <c r="M189">
        <v>100</v>
      </c>
    </row>
    <row r="190" spans="1:13">
      <c r="A190">
        <v>189</v>
      </c>
      <c r="B190" t="s">
        <v>0</v>
      </c>
      <c r="C190" t="s">
        <v>13</v>
      </c>
      <c r="D190" t="s">
        <v>34</v>
      </c>
      <c r="E190" t="s">
        <v>71</v>
      </c>
      <c r="F190" t="s">
        <v>242</v>
      </c>
      <c r="G190" t="s">
        <v>291</v>
      </c>
      <c r="H190" t="s">
        <v>73</v>
      </c>
      <c r="I190" t="s">
        <v>275</v>
      </c>
      <c r="J190">
        <v>1</v>
      </c>
      <c r="K190" t="s">
        <v>621</v>
      </c>
      <c r="L190">
        <v>47.78</v>
      </c>
      <c r="M190">
        <v>100</v>
      </c>
    </row>
    <row r="191" spans="1:13">
      <c r="A191">
        <v>190</v>
      </c>
      <c r="B191" t="s">
        <v>0</v>
      </c>
      <c r="C191" t="s">
        <v>13</v>
      </c>
      <c r="D191" t="s">
        <v>27</v>
      </c>
      <c r="E191" t="s">
        <v>418</v>
      </c>
      <c r="F191" t="s">
        <v>243</v>
      </c>
      <c r="G191" t="s">
        <v>292</v>
      </c>
      <c r="H191" t="s">
        <v>420</v>
      </c>
      <c r="I191" t="s">
        <v>275</v>
      </c>
      <c r="J191">
        <v>1</v>
      </c>
      <c r="K191" t="s">
        <v>622</v>
      </c>
      <c r="L191">
        <v>47.78</v>
      </c>
      <c r="M191">
        <v>100</v>
      </c>
    </row>
    <row r="192" spans="1:13">
      <c r="A192">
        <v>191</v>
      </c>
      <c r="B192" t="s">
        <v>0</v>
      </c>
      <c r="C192" t="s">
        <v>13</v>
      </c>
      <c r="D192" t="s">
        <v>29</v>
      </c>
      <c r="E192" t="s">
        <v>30</v>
      </c>
      <c r="F192" t="s">
        <v>244</v>
      </c>
      <c r="G192" t="s">
        <v>278</v>
      </c>
      <c r="H192" t="s">
        <v>32</v>
      </c>
      <c r="I192" t="s">
        <v>275</v>
      </c>
      <c r="J192">
        <v>1</v>
      </c>
      <c r="K192" t="s">
        <v>623</v>
      </c>
      <c r="L192">
        <v>47.78</v>
      </c>
      <c r="M192">
        <v>100</v>
      </c>
    </row>
    <row r="193" spans="1:13">
      <c r="A193">
        <v>192</v>
      </c>
      <c r="B193" t="s">
        <v>0</v>
      </c>
      <c r="C193" t="s">
        <v>13</v>
      </c>
      <c r="D193" t="s">
        <v>14</v>
      </c>
      <c r="E193" t="s">
        <v>19</v>
      </c>
      <c r="F193" t="s">
        <v>245</v>
      </c>
      <c r="G193" t="s">
        <v>293</v>
      </c>
      <c r="H193" t="s">
        <v>21</v>
      </c>
      <c r="I193" t="s">
        <v>275</v>
      </c>
      <c r="J193">
        <v>1</v>
      </c>
      <c r="K193" t="s">
        <v>624</v>
      </c>
      <c r="L193">
        <v>47.78</v>
      </c>
      <c r="M193">
        <v>100</v>
      </c>
    </row>
    <row r="194" spans="1:13">
      <c r="A194">
        <v>193</v>
      </c>
      <c r="B194" t="s">
        <v>0</v>
      </c>
      <c r="C194" t="s">
        <v>13</v>
      </c>
      <c r="D194" t="s">
        <v>29</v>
      </c>
      <c r="E194" t="s">
        <v>46</v>
      </c>
      <c r="F194" t="s">
        <v>246</v>
      </c>
      <c r="G194" t="s">
        <v>294</v>
      </c>
      <c r="H194" t="s">
        <v>438</v>
      </c>
      <c r="I194" t="s">
        <v>275</v>
      </c>
      <c r="J194">
        <v>1</v>
      </c>
      <c r="K194" t="s">
        <v>625</v>
      </c>
      <c r="L194">
        <v>47.78</v>
      </c>
      <c r="M194">
        <v>100</v>
      </c>
    </row>
    <row r="195" spans="1:13">
      <c r="A195">
        <v>194</v>
      </c>
      <c r="B195" t="s">
        <v>0</v>
      </c>
      <c r="C195" t="s">
        <v>13</v>
      </c>
      <c r="D195" t="s">
        <v>29</v>
      </c>
      <c r="E195" t="s">
        <v>46</v>
      </c>
      <c r="F195" t="s">
        <v>247</v>
      </c>
      <c r="G195" t="s">
        <v>295</v>
      </c>
      <c r="H195" t="s">
        <v>438</v>
      </c>
      <c r="I195" t="s">
        <v>275</v>
      </c>
      <c r="J195">
        <v>1</v>
      </c>
      <c r="K195" t="s">
        <v>626</v>
      </c>
      <c r="L195">
        <v>47.78</v>
      </c>
      <c r="M195">
        <v>100</v>
      </c>
    </row>
    <row r="196" spans="1:13">
      <c r="A196">
        <v>195</v>
      </c>
      <c r="B196" t="s">
        <v>0</v>
      </c>
      <c r="C196" t="s">
        <v>13</v>
      </c>
      <c r="D196" t="s">
        <v>27</v>
      </c>
      <c r="E196" t="s">
        <v>82</v>
      </c>
      <c r="F196" t="s">
        <v>248</v>
      </c>
      <c r="G196" t="s">
        <v>78</v>
      </c>
      <c r="H196" t="s">
        <v>84</v>
      </c>
      <c r="I196" t="s">
        <v>275</v>
      </c>
      <c r="J196">
        <v>1</v>
      </c>
      <c r="K196" t="s">
        <v>434</v>
      </c>
      <c r="L196">
        <v>47.78</v>
      </c>
      <c r="M196">
        <v>100</v>
      </c>
    </row>
    <row r="197" spans="1:13">
      <c r="A197">
        <v>196</v>
      </c>
      <c r="B197" t="s">
        <v>0</v>
      </c>
      <c r="C197" t="s">
        <v>13</v>
      </c>
      <c r="D197" t="s">
        <v>14</v>
      </c>
      <c r="E197" t="s">
        <v>15</v>
      </c>
      <c r="F197" t="s">
        <v>249</v>
      </c>
      <c r="G197" t="s">
        <v>296</v>
      </c>
      <c r="H197" t="s">
        <v>18</v>
      </c>
      <c r="I197" t="s">
        <v>275</v>
      </c>
      <c r="J197">
        <v>1</v>
      </c>
      <c r="K197" t="s">
        <v>627</v>
      </c>
      <c r="L197">
        <v>47.78</v>
      </c>
      <c r="M197">
        <v>100</v>
      </c>
    </row>
    <row r="198" spans="1:13">
      <c r="A198">
        <v>197</v>
      </c>
      <c r="B198" t="s">
        <v>0</v>
      </c>
      <c r="C198" t="s">
        <v>13</v>
      </c>
      <c r="D198" t="s">
        <v>34</v>
      </c>
      <c r="E198" t="s">
        <v>35</v>
      </c>
      <c r="F198" t="s">
        <v>250</v>
      </c>
      <c r="G198" t="s">
        <v>241</v>
      </c>
      <c r="H198" t="s">
        <v>37</v>
      </c>
      <c r="I198" t="s">
        <v>275</v>
      </c>
      <c r="J198">
        <v>1</v>
      </c>
      <c r="K198" t="s">
        <v>628</v>
      </c>
      <c r="L198">
        <v>47.78</v>
      </c>
      <c r="M198">
        <v>100</v>
      </c>
    </row>
    <row r="199" spans="1:13">
      <c r="A199">
        <v>198</v>
      </c>
      <c r="B199" t="s">
        <v>0</v>
      </c>
      <c r="C199" t="s">
        <v>13</v>
      </c>
      <c r="D199" t="s">
        <v>29</v>
      </c>
      <c r="E199" t="s">
        <v>30</v>
      </c>
      <c r="F199" t="s">
        <v>251</v>
      </c>
      <c r="G199" t="s">
        <v>297</v>
      </c>
      <c r="H199" t="s">
        <v>32</v>
      </c>
      <c r="I199" t="s">
        <v>275</v>
      </c>
      <c r="J199">
        <v>1</v>
      </c>
      <c r="K199" t="s">
        <v>629</v>
      </c>
      <c r="L199">
        <v>47.78</v>
      </c>
      <c r="M199">
        <v>100</v>
      </c>
    </row>
    <row r="200" spans="1:13">
      <c r="A200">
        <v>199</v>
      </c>
      <c r="B200" t="s">
        <v>0</v>
      </c>
      <c r="C200" t="s">
        <v>13</v>
      </c>
      <c r="D200" t="s">
        <v>14</v>
      </c>
      <c r="E200" t="s">
        <v>15</v>
      </c>
      <c r="F200" t="s">
        <v>252</v>
      </c>
      <c r="G200" t="s">
        <v>60</v>
      </c>
      <c r="H200" t="s">
        <v>18</v>
      </c>
      <c r="I200" t="s">
        <v>275</v>
      </c>
      <c r="J200">
        <v>1</v>
      </c>
      <c r="K200" t="s">
        <v>630</v>
      </c>
      <c r="L200">
        <v>47.78</v>
      </c>
      <c r="M200">
        <v>100</v>
      </c>
    </row>
    <row r="201" spans="1:13">
      <c r="A201">
        <v>200</v>
      </c>
      <c r="B201" t="s">
        <v>0</v>
      </c>
      <c r="C201" t="s">
        <v>13</v>
      </c>
      <c r="D201" t="s">
        <v>34</v>
      </c>
      <c r="E201" t="s">
        <v>71</v>
      </c>
      <c r="F201" t="s">
        <v>253</v>
      </c>
      <c r="G201" t="s">
        <v>297</v>
      </c>
      <c r="H201" t="s">
        <v>73</v>
      </c>
      <c r="I201" t="s">
        <v>275</v>
      </c>
      <c r="J201">
        <v>1</v>
      </c>
      <c r="K201" t="s">
        <v>630</v>
      </c>
      <c r="L201">
        <v>47.78</v>
      </c>
      <c r="M201">
        <v>100</v>
      </c>
    </row>
  </sheetData>
  <dataValidations count="2">
    <dataValidation type="list" allowBlank="1" showInputMessage="1" showErrorMessage="1" sqref="J2:J201" xr:uid="{3250AF99-8473-4D43-9B06-B453368495DE}">
      <formula1>$K$1:$K$3</formula1>
    </dataValidation>
    <dataValidation type="list" allowBlank="1" showInputMessage="1" showErrorMessage="1" sqref="B2:B201" xr:uid="{F1D1B69D-B2D7-42DE-B694-A5389558A1CA}">
      <formula1>$C$1:$C$2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opLeftCell="A4" workbookViewId="0">
      <selection sqref="A1:XFD6"/>
    </sheetView>
  </sheetViews>
  <sheetFormatPr defaultRowHeight="14.25"/>
  <cols>
    <col min="4" max="4" width="43.06640625" customWidth="1"/>
  </cols>
  <sheetData>
    <row r="1" spans="1:4" ht="141.85" customHeight="1">
      <c r="A1" s="1" t="s">
        <v>255</v>
      </c>
      <c r="B1" s="1" t="s">
        <v>256</v>
      </c>
      <c r="C1" s="1" t="s">
        <v>257</v>
      </c>
      <c r="D1" s="1" t="s">
        <v>258</v>
      </c>
    </row>
    <row r="2" spans="1:4" ht="141.85" customHeight="1">
      <c r="A2" s="1" t="s">
        <v>259</v>
      </c>
      <c r="B2" s="1" t="s">
        <v>260</v>
      </c>
      <c r="C2" s="2" t="s">
        <v>261</v>
      </c>
      <c r="D2" s="2" t="s">
        <v>262</v>
      </c>
    </row>
    <row r="3" spans="1:4" ht="141.85" customHeight="1">
      <c r="A3" s="1" t="s">
        <v>263</v>
      </c>
      <c r="B3" s="1" t="s">
        <v>254</v>
      </c>
      <c r="C3" s="2" t="s">
        <v>264</v>
      </c>
      <c r="D3" s="2" t="s">
        <v>265</v>
      </c>
    </row>
    <row r="4" spans="1:4" ht="141.85" customHeight="1">
      <c r="A4" s="1" t="s">
        <v>266</v>
      </c>
      <c r="B4" s="1" t="s">
        <v>10</v>
      </c>
      <c r="C4" s="2" t="s">
        <v>267</v>
      </c>
      <c r="D4" s="1" t="s">
        <v>268</v>
      </c>
    </row>
    <row r="5" spans="1:4" ht="141.85" customHeight="1">
      <c r="A5" s="1" t="s">
        <v>269</v>
      </c>
      <c r="B5" s="1" t="s">
        <v>11</v>
      </c>
      <c r="C5" s="2" t="s">
        <v>270</v>
      </c>
      <c r="D5" s="1" t="s">
        <v>271</v>
      </c>
    </row>
    <row r="6" spans="1:4" ht="141.85" customHeight="1">
      <c r="A6" s="1" t="s">
        <v>272</v>
      </c>
      <c r="B6" s="1" t="s">
        <v>260</v>
      </c>
      <c r="C6" s="2" t="s">
        <v>273</v>
      </c>
      <c r="D6" s="2" t="s">
        <v>274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4" sqref="D4"/>
    </sheetView>
  </sheetViews>
  <sheetFormatPr defaultRowHeight="14.25"/>
  <cols>
    <col min="4" max="4" width="42.46484375" customWidth="1"/>
  </cols>
  <sheetData>
    <row r="1" spans="1:4" ht="41.65">
      <c r="A1" s="1" t="s">
        <v>255</v>
      </c>
      <c r="B1" s="1" t="s">
        <v>256</v>
      </c>
      <c r="C1" s="1" t="s">
        <v>257</v>
      </c>
      <c r="D1" s="1" t="s">
        <v>258</v>
      </c>
    </row>
    <row r="2" spans="1:4" ht="80.349999999999994" customHeight="1">
      <c r="A2" s="1" t="s">
        <v>298</v>
      </c>
      <c r="B2" s="1" t="s">
        <v>3</v>
      </c>
      <c r="C2" s="2" t="s">
        <v>299</v>
      </c>
      <c r="D2" s="1" t="s">
        <v>300</v>
      </c>
    </row>
    <row r="3" spans="1:4" ht="80.349999999999994" customHeight="1">
      <c r="A3" s="1" t="s">
        <v>301</v>
      </c>
      <c r="B3" s="1" t="s">
        <v>302</v>
      </c>
      <c r="C3" s="2" t="s">
        <v>303</v>
      </c>
      <c r="D3" s="1" t="s">
        <v>304</v>
      </c>
    </row>
    <row r="4" spans="1:4" ht="80.349999999999994" customHeight="1">
      <c r="A4" s="1" t="s">
        <v>305</v>
      </c>
      <c r="B4" s="1" t="s">
        <v>5</v>
      </c>
      <c r="C4" s="2" t="s">
        <v>306</v>
      </c>
      <c r="D4" s="1" t="s">
        <v>307</v>
      </c>
    </row>
    <row r="5" spans="1:4" ht="80.349999999999994" customHeight="1">
      <c r="A5" s="1" t="s">
        <v>308</v>
      </c>
      <c r="B5" s="1" t="s">
        <v>9</v>
      </c>
      <c r="C5" s="2" t="s">
        <v>309</v>
      </c>
      <c r="D5" s="1" t="s">
        <v>310</v>
      </c>
    </row>
    <row r="6" spans="1:4" ht="80.349999999999994" customHeight="1">
      <c r="A6" s="1" t="s">
        <v>311</v>
      </c>
      <c r="B6" s="1" t="s">
        <v>7</v>
      </c>
      <c r="C6" s="2" t="s">
        <v>312</v>
      </c>
      <c r="D6" s="2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C2" sqref="C2"/>
    </sheetView>
  </sheetViews>
  <sheetFormatPr defaultRowHeight="14.25"/>
  <cols>
    <col min="1" max="1" width="17.59765625" customWidth="1"/>
    <col min="2" max="2" width="26.6640625" customWidth="1"/>
    <col min="3" max="3" width="45.19921875" customWidth="1"/>
    <col min="4" max="4" width="19.59765625" customWidth="1"/>
    <col min="5" max="5" width="37.19921875" customWidth="1"/>
  </cols>
  <sheetData>
    <row r="1" spans="1:5" ht="27.75">
      <c r="A1" s="1" t="s">
        <v>255</v>
      </c>
      <c r="B1" s="1" t="s">
        <v>333</v>
      </c>
      <c r="C1" s="1" t="s">
        <v>334</v>
      </c>
      <c r="D1" s="1" t="s">
        <v>335</v>
      </c>
      <c r="E1" s="1" t="s">
        <v>336</v>
      </c>
    </row>
    <row r="2" spans="1:5" ht="40.9">
      <c r="A2" s="1" t="s">
        <v>259</v>
      </c>
      <c r="B2" s="1" t="s">
        <v>337</v>
      </c>
      <c r="C2" s="1" t="s">
        <v>338</v>
      </c>
      <c r="D2" s="1" t="s">
        <v>339</v>
      </c>
      <c r="E2" s="1" t="s">
        <v>340</v>
      </c>
    </row>
    <row r="3" spans="1:5" ht="68.25">
      <c r="A3" s="1" t="s">
        <v>263</v>
      </c>
      <c r="B3" s="1" t="s">
        <v>341</v>
      </c>
      <c r="C3" s="1" t="s">
        <v>342</v>
      </c>
      <c r="D3" s="1" t="s">
        <v>343</v>
      </c>
      <c r="E3" s="1" t="s">
        <v>344</v>
      </c>
    </row>
    <row r="4" spans="1:5" ht="54.75">
      <c r="A4" s="1" t="s">
        <v>266</v>
      </c>
      <c r="B4" s="1" t="s">
        <v>345</v>
      </c>
      <c r="C4" s="1" t="s">
        <v>346</v>
      </c>
      <c r="D4" s="1" t="s">
        <v>340</v>
      </c>
      <c r="E4" s="2" t="s">
        <v>347</v>
      </c>
    </row>
    <row r="5" spans="1:5" ht="54.4">
      <c r="A5" s="1" t="s">
        <v>269</v>
      </c>
      <c r="B5" s="1" t="s">
        <v>348</v>
      </c>
      <c r="C5" s="1" t="s">
        <v>349</v>
      </c>
      <c r="D5" s="1" t="s">
        <v>338</v>
      </c>
      <c r="E5" s="2" t="s">
        <v>347</v>
      </c>
    </row>
    <row r="6" spans="1:5" ht="54.4">
      <c r="A6" s="1" t="s">
        <v>272</v>
      </c>
      <c r="B6" s="1" t="s">
        <v>350</v>
      </c>
      <c r="C6" s="1" t="s">
        <v>343</v>
      </c>
      <c r="D6" s="1" t="s">
        <v>339</v>
      </c>
      <c r="E6" s="1" t="s">
        <v>344</v>
      </c>
    </row>
    <row r="7" spans="1:5" ht="67.900000000000006">
      <c r="A7" s="1" t="s">
        <v>298</v>
      </c>
      <c r="B7" s="1" t="s">
        <v>351</v>
      </c>
      <c r="C7" s="1" t="s">
        <v>344</v>
      </c>
      <c r="D7" s="1" t="s">
        <v>346</v>
      </c>
      <c r="E7" s="2" t="s">
        <v>347</v>
      </c>
    </row>
    <row r="8" spans="1:5" ht="40.9">
      <c r="A8" s="1" t="s">
        <v>301</v>
      </c>
      <c r="B8" s="1" t="s">
        <v>352</v>
      </c>
      <c r="C8" s="1" t="s">
        <v>342</v>
      </c>
      <c r="D8" s="1" t="s">
        <v>353</v>
      </c>
      <c r="E8" s="1" t="s">
        <v>339</v>
      </c>
    </row>
    <row r="9" spans="1:5" ht="68.650000000000006">
      <c r="A9" s="1" t="s">
        <v>305</v>
      </c>
      <c r="B9" s="1" t="s">
        <v>354</v>
      </c>
      <c r="C9" s="1" t="s">
        <v>346</v>
      </c>
      <c r="D9" s="1" t="s">
        <v>355</v>
      </c>
      <c r="E9" s="1" t="s">
        <v>340</v>
      </c>
    </row>
    <row r="10" spans="1:5" ht="54.75">
      <c r="A10" s="1" t="s">
        <v>308</v>
      </c>
      <c r="B10" s="1" t="s">
        <v>356</v>
      </c>
      <c r="C10" s="1" t="s">
        <v>357</v>
      </c>
      <c r="D10" s="1" t="s">
        <v>338</v>
      </c>
      <c r="E10" s="1" t="s">
        <v>340</v>
      </c>
    </row>
    <row r="11" spans="1:5" ht="68.25">
      <c r="A11" s="1" t="s">
        <v>311</v>
      </c>
      <c r="B11" s="1" t="s">
        <v>358</v>
      </c>
      <c r="C11" s="1" t="s">
        <v>342</v>
      </c>
      <c r="D11" s="1" t="s">
        <v>359</v>
      </c>
      <c r="E11" s="1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C33" sqref="C33"/>
    </sheetView>
  </sheetViews>
  <sheetFormatPr defaultRowHeight="14.25"/>
  <cols>
    <col min="2" max="2" width="18.53125" customWidth="1"/>
    <col min="3" max="3" width="24" customWidth="1"/>
    <col min="4" max="4" width="17.46484375" customWidth="1"/>
    <col min="5" max="5" width="35.19921875" customWidth="1"/>
  </cols>
  <sheetData>
    <row r="1" spans="1:5">
      <c r="A1" s="1" t="s">
        <v>255</v>
      </c>
      <c r="B1" s="1" t="s">
        <v>333</v>
      </c>
      <c r="C1" s="1" t="s">
        <v>360</v>
      </c>
      <c r="D1" s="1" t="s">
        <v>361</v>
      </c>
      <c r="E1" s="1" t="s">
        <v>362</v>
      </c>
    </row>
    <row r="2" spans="1:5" ht="41.25">
      <c r="A2" s="1" t="s">
        <v>259</v>
      </c>
      <c r="B2" s="1" t="s">
        <v>363</v>
      </c>
      <c r="C2" s="1" t="s">
        <v>3</v>
      </c>
      <c r="D2" s="2" t="s">
        <v>364</v>
      </c>
      <c r="E2" s="2" t="s">
        <v>365</v>
      </c>
    </row>
    <row r="3" spans="1:5" ht="27.75">
      <c r="A3" s="1" t="s">
        <v>263</v>
      </c>
      <c r="B3" s="1" t="s">
        <v>366</v>
      </c>
      <c r="C3" s="1" t="s">
        <v>5</v>
      </c>
      <c r="D3" s="2" t="s">
        <v>367</v>
      </c>
      <c r="E3" s="2" t="s">
        <v>365</v>
      </c>
    </row>
    <row r="4" spans="1:5">
      <c r="A4" s="1" t="s">
        <v>266</v>
      </c>
      <c r="B4" s="1" t="s">
        <v>368</v>
      </c>
      <c r="C4" s="1" t="s">
        <v>260</v>
      </c>
      <c r="D4" s="1" t="s">
        <v>369</v>
      </c>
      <c r="E4" s="2" t="s">
        <v>370</v>
      </c>
    </row>
    <row r="5" spans="1:5" ht="27.75">
      <c r="A5" s="1" t="s">
        <v>269</v>
      </c>
      <c r="B5" s="1" t="s">
        <v>371</v>
      </c>
      <c r="C5" s="1" t="s">
        <v>10</v>
      </c>
      <c r="D5" s="2" t="s">
        <v>372</v>
      </c>
      <c r="E5" s="2" t="s">
        <v>370</v>
      </c>
    </row>
    <row r="6" spans="1:5" ht="27.75">
      <c r="A6" s="1" t="s">
        <v>272</v>
      </c>
      <c r="B6" s="1" t="s">
        <v>373</v>
      </c>
      <c r="C6" s="1" t="s">
        <v>9</v>
      </c>
      <c r="D6" s="2" t="s">
        <v>374</v>
      </c>
      <c r="E6" s="2" t="s">
        <v>375</v>
      </c>
    </row>
    <row r="7" spans="1:5" ht="27.75">
      <c r="A7" s="1" t="s">
        <v>298</v>
      </c>
      <c r="B7" s="1" t="s">
        <v>376</v>
      </c>
      <c r="C7" s="1" t="s">
        <v>377</v>
      </c>
      <c r="D7" s="2" t="s">
        <v>378</v>
      </c>
      <c r="E7" s="2" t="s">
        <v>379</v>
      </c>
    </row>
    <row r="8" spans="1:5" ht="41.25">
      <c r="A8" s="1" t="s">
        <v>301</v>
      </c>
      <c r="B8" s="1" t="s">
        <v>380</v>
      </c>
      <c r="C8" s="1" t="s">
        <v>302</v>
      </c>
      <c r="D8" s="2" t="s">
        <v>381</v>
      </c>
      <c r="E8" s="2" t="s">
        <v>382</v>
      </c>
    </row>
    <row r="9" spans="1:5" ht="27.75">
      <c r="A9" s="1" t="s">
        <v>305</v>
      </c>
      <c r="B9" s="1" t="s">
        <v>383</v>
      </c>
      <c r="C9" s="1" t="s">
        <v>254</v>
      </c>
      <c r="D9" s="1" t="s">
        <v>384</v>
      </c>
      <c r="E9" s="2" t="s">
        <v>370</v>
      </c>
    </row>
    <row r="10" spans="1:5" ht="41.65">
      <c r="A10" s="1" t="s">
        <v>308</v>
      </c>
      <c r="B10" s="1" t="s">
        <v>385</v>
      </c>
      <c r="C10" s="1" t="s">
        <v>386</v>
      </c>
      <c r="D10" s="1" t="s">
        <v>387</v>
      </c>
      <c r="E10" s="2" t="s">
        <v>388</v>
      </c>
    </row>
    <row r="11" spans="1:5" ht="27.75">
      <c r="A11" s="1" t="s">
        <v>311</v>
      </c>
      <c r="B11" s="1" t="s">
        <v>389</v>
      </c>
      <c r="C11" s="1" t="s">
        <v>302</v>
      </c>
      <c r="D11" s="2" t="s">
        <v>390</v>
      </c>
      <c r="E11" s="2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D4" sqref="D4"/>
    </sheetView>
  </sheetViews>
  <sheetFormatPr defaultRowHeight="14.25"/>
  <cols>
    <col min="2" max="6" width="21.86328125" customWidth="1"/>
  </cols>
  <sheetData>
    <row r="1" spans="1:6">
      <c r="A1" s="1" t="s">
        <v>255</v>
      </c>
      <c r="B1" s="1" t="s">
        <v>392</v>
      </c>
      <c r="C1" s="1"/>
      <c r="D1" s="1"/>
      <c r="E1" s="1"/>
      <c r="F1" s="1"/>
    </row>
    <row r="2" spans="1:6" ht="27.75">
      <c r="A2" s="1" t="s">
        <v>259</v>
      </c>
      <c r="B2" s="1" t="s">
        <v>397</v>
      </c>
      <c r="C2" s="1"/>
      <c r="D2" s="4"/>
      <c r="E2" s="1"/>
      <c r="F2" s="1"/>
    </row>
    <row r="3" spans="1:6" ht="45" customHeight="1">
      <c r="A3" s="1" t="s">
        <v>263</v>
      </c>
      <c r="B3" s="1" t="s">
        <v>400</v>
      </c>
      <c r="C3" s="1"/>
      <c r="D3" s="1"/>
      <c r="E3" s="1"/>
      <c r="F3" s="1"/>
    </row>
    <row r="4" spans="1:6" ht="27.75">
      <c r="A4" s="1" t="s">
        <v>266</v>
      </c>
      <c r="B4" s="1" t="s">
        <v>402</v>
      </c>
      <c r="C4" s="1"/>
      <c r="D4" s="4"/>
      <c r="E4" s="1"/>
      <c r="F4" s="1"/>
    </row>
    <row r="5" spans="1:6" ht="39.75" customHeight="1">
      <c r="A5" s="1" t="s">
        <v>269</v>
      </c>
      <c r="B5" s="1" t="s">
        <v>404</v>
      </c>
      <c r="C5" s="1"/>
      <c r="D5" s="1"/>
      <c r="E5" s="1"/>
      <c r="F5" s="1"/>
    </row>
    <row r="6" spans="1:6" ht="43.5" customHeight="1">
      <c r="A6" s="1" t="s">
        <v>272</v>
      </c>
      <c r="B6" s="1" t="s">
        <v>406</v>
      </c>
      <c r="C6" s="1"/>
      <c r="D6" s="4"/>
      <c r="E6" s="1"/>
      <c r="F6" s="1"/>
    </row>
    <row r="7" spans="1:6" ht="41.65">
      <c r="A7" s="1" t="s">
        <v>298</v>
      </c>
      <c r="B7" s="1" t="s">
        <v>408</v>
      </c>
      <c r="C7" s="1"/>
      <c r="D7" s="1"/>
      <c r="E7" s="1"/>
      <c r="F7" s="1"/>
    </row>
    <row r="8" spans="1:6" ht="42" customHeight="1">
      <c r="A8" s="1" t="s">
        <v>301</v>
      </c>
      <c r="B8" s="1" t="s">
        <v>409</v>
      </c>
      <c r="C8" s="1"/>
      <c r="D8" s="4"/>
      <c r="E8" s="1"/>
      <c r="F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E1" sqref="E1:E1048576"/>
    </sheetView>
  </sheetViews>
  <sheetFormatPr defaultRowHeight="14.25"/>
  <cols>
    <col min="3" max="3" width="18.3984375" customWidth="1"/>
    <col min="4" max="4" width="18.53125" customWidth="1"/>
    <col min="5" max="5" width="14.796875" customWidth="1"/>
    <col min="6" max="6" width="19.86328125" customWidth="1"/>
  </cols>
  <sheetData>
    <row r="1" spans="1:6" ht="27.75">
      <c r="A1" s="1" t="s">
        <v>255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</row>
    <row r="2" spans="1:6" ht="55.5">
      <c r="A2" s="1" t="s">
        <v>259</v>
      </c>
      <c r="B2" s="1" t="s">
        <v>397</v>
      </c>
      <c r="C2" s="1" t="s">
        <v>5</v>
      </c>
      <c r="D2" s="4" t="s">
        <v>398</v>
      </c>
      <c r="E2" s="1" t="s">
        <v>260</v>
      </c>
      <c r="F2" s="1" t="s">
        <v>399</v>
      </c>
    </row>
    <row r="3" spans="1:6" ht="83.25">
      <c r="A3" s="1" t="s">
        <v>263</v>
      </c>
      <c r="B3" s="1" t="s">
        <v>400</v>
      </c>
      <c r="C3" s="1" t="s">
        <v>3</v>
      </c>
      <c r="D3" s="1" t="s">
        <v>302</v>
      </c>
      <c r="E3" s="1" t="s">
        <v>254</v>
      </c>
      <c r="F3" s="1" t="s">
        <v>401</v>
      </c>
    </row>
    <row r="4" spans="1:6" ht="69.400000000000006">
      <c r="A4" s="1" t="s">
        <v>266</v>
      </c>
      <c r="B4" s="1" t="s">
        <v>402</v>
      </c>
      <c r="C4" s="1" t="s">
        <v>9</v>
      </c>
      <c r="D4" s="4" t="s">
        <v>398</v>
      </c>
      <c r="E4" s="1" t="s">
        <v>7</v>
      </c>
      <c r="F4" s="1" t="s">
        <v>403</v>
      </c>
    </row>
    <row r="5" spans="1:6" ht="83.25">
      <c r="A5" s="1" t="s">
        <v>269</v>
      </c>
      <c r="B5" s="1" t="s">
        <v>404</v>
      </c>
      <c r="C5" s="1" t="s">
        <v>5</v>
      </c>
      <c r="D5" s="1" t="s">
        <v>6</v>
      </c>
      <c r="E5" s="1" t="s">
        <v>260</v>
      </c>
      <c r="F5" s="1" t="s">
        <v>405</v>
      </c>
    </row>
    <row r="6" spans="1:6" ht="83.25">
      <c r="A6" s="1" t="s">
        <v>272</v>
      </c>
      <c r="B6" s="1" t="s">
        <v>406</v>
      </c>
      <c r="C6" s="1" t="s">
        <v>302</v>
      </c>
      <c r="D6" s="4" t="s">
        <v>398</v>
      </c>
      <c r="E6" s="1" t="s">
        <v>407</v>
      </c>
      <c r="F6" s="1" t="s">
        <v>399</v>
      </c>
    </row>
    <row r="7" spans="1:6" ht="97.15">
      <c r="A7" s="1" t="s">
        <v>298</v>
      </c>
      <c r="B7" s="1" t="s">
        <v>408</v>
      </c>
      <c r="C7" s="1" t="s">
        <v>302</v>
      </c>
      <c r="D7" s="1" t="s">
        <v>10</v>
      </c>
      <c r="E7" s="1" t="s">
        <v>7</v>
      </c>
      <c r="F7" s="1" t="s">
        <v>403</v>
      </c>
    </row>
    <row r="8" spans="1:6" ht="69.400000000000006">
      <c r="A8" s="1" t="s">
        <v>301</v>
      </c>
      <c r="B8" s="1" t="s">
        <v>409</v>
      </c>
      <c r="C8" s="1" t="s">
        <v>410</v>
      </c>
      <c r="D8" s="4" t="s">
        <v>398</v>
      </c>
      <c r="E8" s="1" t="s">
        <v>260</v>
      </c>
      <c r="F8" s="1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ocjene_2019_2020</vt:lpstr>
      <vt:lpstr>conditional1</vt:lpstr>
      <vt:lpstr>conditional2</vt:lpstr>
      <vt:lpstr>sortiranje</vt:lpstr>
      <vt:lpstr>filtriranje1</vt:lpstr>
      <vt:lpstr>pivot</vt:lpstr>
      <vt:lpstr>pivot_r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</dc:creator>
  <cp:lastModifiedBy>sinisa</cp:lastModifiedBy>
  <dcterms:created xsi:type="dcterms:W3CDTF">2025-12-04T09:39:37Z</dcterms:created>
  <dcterms:modified xsi:type="dcterms:W3CDTF">2025-12-04T19:47:22Z</dcterms:modified>
</cp:coreProperties>
</file>